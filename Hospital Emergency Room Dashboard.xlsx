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User\Documents\"/>
    </mc:Choice>
  </mc:AlternateContent>
  <xr:revisionPtr revIDLastSave="0" documentId="8_{1EFA1075-99CA-45DB-94D1-B1ACDBE76147}" xr6:coauthVersionLast="47" xr6:coauthVersionMax="47" xr10:uidLastSave="{00000000-0000-0000-0000-000000000000}"/>
  <bookViews>
    <workbookView xWindow="-120" yWindow="-120" windowWidth="19440" windowHeight="11640" xr2:uid="{0BC01CE0-93BC-4706-B339-1E93F4E51F9F}"/>
  </bookViews>
  <sheets>
    <sheet name="Pivot Report" sheetId="1" r:id="rId1"/>
    <sheet name="DASHBOARD" sheetId="2" r:id="rId2"/>
    <sheet name="Average waitime daily trend" sheetId="6" r:id="rId3"/>
    <sheet name="Daily ER No of Patient" sheetId="3" r:id="rId4"/>
    <sheet name="Satisfaction score daily trend" sheetId="8" r:id="rId5"/>
  </sheets>
  <definedNames>
    <definedName name="Slicer_Date__Month">#N/A</definedName>
    <definedName name="Slicer_Date__Year">#N/A</definedName>
  </definedNames>
  <calcPr calcId="191029"/>
  <pivotCaches>
    <pivotCache cacheId="1239" r:id="rId6"/>
    <pivotCache cacheId="1242" r:id="rId7"/>
    <pivotCache cacheId="1245" r:id="rId8"/>
    <pivotCache cacheId="1248" r:id="rId9"/>
    <pivotCache cacheId="1251" r:id="rId10"/>
    <pivotCache cacheId="1254" r:id="rId11"/>
    <pivotCache cacheId="1257" r:id="rId12"/>
    <pivotCache cacheId="1260" r:id="rId13"/>
    <pivotCache cacheId="1263" r:id="rId14"/>
    <pivotCache cacheId="1266" r:id="rId15"/>
    <pivotCache cacheId="1269" r:id="rId16"/>
    <pivotCache cacheId="1272"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c31306b-8f15-4fd7-9f00-81c21572359b" name="Hospital Emergency Room Data" connection="Query - Hospital Emergency Room Data"/>
          <x15:modelTable id="Calendar_Table_5274f9b3-74d9-4a78-8ed9-44f642b4380d"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44" i="1" l="1"/>
  <c r="B44" i="1"/>
  <c r="C44" i="1"/>
  <c r="A45" i="1"/>
  <c r="B45" i="1"/>
  <c r="C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027A9D-596A-47CD-970B-C3A92FA39539}" name="Query - Calendar_Table" description="Connection to the 'Calendar_Table' query in the workbook." type="100" refreshedVersion="7" minRefreshableVersion="5">
    <extLst>
      <ext xmlns:x15="http://schemas.microsoft.com/office/spreadsheetml/2010/11/main" uri="{DE250136-89BD-433C-8126-D09CA5730AF9}">
        <x15:connection id="f267e556-a1ca-4230-b6cf-b9a7ef447a36"/>
      </ext>
    </extLst>
  </connection>
  <connection id="2" xr16:uid="{800008F2-FF7D-4F76-82D3-DBBFD65B6204}"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3f951284-6349-4146-8c77-a4393c70f5af"/>
      </ext>
    </extLst>
  </connection>
  <connection id="3" xr16:uid="{71A5BB12-0ED9-4398-A3FF-BD1BC947B7A1}"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<sst xmlns="http://schemas.openxmlformats.org/spreadsheetml/2006/main" count="160" uniqueCount="79">
  <si>
    <t>Row Labels</t>
  </si>
  <si>
    <t>Grand Total</t>
  </si>
  <si>
    <t>Distinct Count of Patient Id</t>
  </si>
  <si>
    <t>No. of patient</t>
  </si>
  <si>
    <t>Average of Patient Waittime</t>
  </si>
  <si>
    <t>Average of Patient Satisfaction Score</t>
  </si>
  <si>
    <t>average wait time</t>
  </si>
  <si>
    <t>Admitted</t>
  </si>
  <si>
    <t>Not Admitted</t>
  </si>
  <si>
    <r>
      <t xml:space="preserve">   </t>
    </r>
    <r>
      <rPr>
        <b/>
        <sz val="11"/>
        <color theme="1"/>
        <rFont val="Calibri"/>
        <family val="2"/>
        <scheme val="minor"/>
      </rPr>
      <t xml:space="preserve"> use an area chart to track daily changes and highlight days with longer wait and times that might need improvements.</t>
    </r>
  </si>
  <si>
    <r>
      <t xml:space="preserve">                                       </t>
    </r>
    <r>
      <rPr>
        <b/>
        <sz val="11"/>
        <color theme="1"/>
        <rFont val="Calibri"/>
        <family val="2"/>
        <scheme val="minor"/>
      </rPr>
      <t>showing a daily trend with an area sparkline to spot patterns like busy days or seasonal trends.</t>
    </r>
  </si>
  <si>
    <t xml:space="preserve">satisfaction score </t>
  </si>
  <si>
    <t>Count of Patient Admission Flag</t>
  </si>
  <si>
    <t>Count of Patient Admission Flag2</t>
  </si>
  <si>
    <t>% Status</t>
  </si>
  <si>
    <t>Admission Status</t>
  </si>
  <si>
    <t>0-09</t>
  </si>
  <si>
    <t>10-19</t>
  </si>
  <si>
    <t>20-29</t>
  </si>
  <si>
    <t>30-39</t>
  </si>
  <si>
    <t>40-49</t>
  </si>
  <si>
    <t>50-59</t>
  </si>
  <si>
    <t>60-69</t>
  </si>
  <si>
    <t>70-79</t>
  </si>
  <si>
    <t>Count of Age Group</t>
  </si>
  <si>
    <t>age group wise analysis</t>
  </si>
  <si>
    <t>Delay</t>
  </si>
  <si>
    <t>On time</t>
  </si>
  <si>
    <t>Count of Patient Attend Status</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</si>
  <si>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</si>
  <si>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</si>
  <si>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</si>
  <si>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</si>
  <si>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</si>
  <si>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</si>
  <si>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</si>
  <si>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</si>
  <si>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</si>
  <si>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</si>
  <si>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</si>
  <si>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</si>
  <si>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</si>
  <si>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</si>
  <si>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2024</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</si>
  <si>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</si>
  <si>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</si>
  <si>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</si>
  <si>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</si>
  <si>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</si>
  <si>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</si>
  <si>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</si>
  <si>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</si>
  <si>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</si>
  <si>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</si>
  <si>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</si>
  <si>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</si>
  <si>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</si>
  <si>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</si>
  <si>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</si>
  <si>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</si>
  <si>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</si>
  <si>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</si>
  <si>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</si>
  <si>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</si>
  <si>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</si>
  <si>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</si>
  <si>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</si>
  <si>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</si>
  <si>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</si>
  <si>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</si>
  <si>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</si>
  <si>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</si>
  <si>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</si>
  <si>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</si>
  <si>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</si>
  <si>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No. of patients</t>
  </si>
  <si>
    <t>daily trends of no of patients</t>
  </si>
  <si>
    <t>year</t>
  </si>
  <si>
    <t>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</si>
</sst>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0"/>
      <name val="Calibri"/>
      <family val="2"/>
      <scheme val="minor"/>
    </font>
    <font>
      <b/>
      <sz val="11"/>
      <color theme="1"/>
      <name val="Calibri"/>
      <family val="2"/>
      <scheme val="minor"/>
    </font>
  </fonts>
  <fills count="7">
    <fill>
      <patternFill patternType="none"/>
    </fill>
    <fill>
      <patternFill patternType="gray125"/>
    </fill>
    <fill>
      <patternFill patternType="solid">
        <fgColor theme="1"/>
        <bgColor indexed="64"/>
      </patternFill>
    </fill>
    <fill>
      <patternFill patternType="solid">
        <fgColor rgb="FFCC99FF"/>
        <bgColor indexed="64"/>
      </patternFill>
    </fill>
    <fill>
      <patternFill patternType="solid">
        <fgColor theme="0"/>
        <bgColor indexed="64"/>
      </patternFill>
    </fill>
    <fill>
      <patternFill patternType="solid">
        <fgColor rgb="FF7030A0"/>
        <bgColor indexed="64"/>
      </patternFill>
    </fill>
    <fill>
      <patternFill patternType="solid">
        <fgColor rgb="FF142740"/>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pivotButton="1"/>
    <xf numFmtId="0" fontId="0" fillId="0" borderId="0" xfId="0" applyAlignment="1">
      <alignment horizontal="left"/>
    </xf>
    <xf numFmtId="0" fontId="1" fillId="2" borderId="0" xfId="0" applyNumberFormat="1" applyFont="1" applyFill="1"/>
    <xf numFmtId="0" fontId="0" fillId="3" borderId="0" xfId="0" applyFill="1"/>
    <xf numFmtId="2" fontId="1" fillId="2" borderId="0" xfId="0" applyNumberFormat="1" applyFont="1" applyFill="1"/>
    <xf numFmtId="1" fontId="1" fillId="2" borderId="0" xfId="0" applyNumberFormat="1" applyFont="1" applyFill="1"/>
    <xf numFmtId="0" fontId="0" fillId="4" borderId="0" xfId="0" applyFill="1"/>
    <xf numFmtId="10" fontId="1" fillId="2" borderId="0" xfId="0" applyNumberFormat="1" applyFont="1" applyFill="1"/>
    <xf numFmtId="0" fontId="1" fillId="5" borderId="0" xfId="0" applyFont="1" applyFill="1" applyAlignment="1">
      <alignment horizontal="center"/>
    </xf>
    <xf numFmtId="0" fontId="1" fillId="5" borderId="0" xfId="0" applyFont="1" applyFill="1"/>
    <xf numFmtId="0" fontId="0" fillId="0" borderId="0" xfId="0" applyFont="1" applyAlignment="1">
      <alignment horizontal="center"/>
    </xf>
    <xf numFmtId="10" fontId="0" fillId="0" borderId="0" xfId="0" applyNumberFormat="1" applyFont="1" applyAlignment="1">
      <alignment horizontal="center"/>
    </xf>
    <xf numFmtId="0" fontId="0" fillId="0" borderId="0" xfId="0" applyFont="1"/>
    <xf numFmtId="0" fontId="0" fillId="4" borderId="0" xfId="0" applyFill="1" applyAlignment="1">
      <alignment horizontal="left"/>
    </xf>
    <xf numFmtId="0" fontId="0" fillId="0" borderId="0" xfId="0" applyAlignment="1">
      <alignment horizontal="center"/>
    </xf>
    <xf numFmtId="0" fontId="0" fillId="6" borderId="0" xfId="0" applyFill="1"/>
  </cellXfs>
  <cellStyles count="1">
    <cellStyle name="Normal" xfId="0" builtinId="0"/>
  </cellStyles>
  <dxfs count="1002">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2" formatCode="0.00"/>
    </dxf>
    <dxf>
      <font>
        <color theme="0"/>
      </font>
      <fill>
        <patternFill patternType="solid">
          <fgColor indexed="64"/>
          <bgColor theme="1"/>
        </patternFill>
      </fill>
    </dxf>
    <dxf>
      <numFmt numFmtId="1" formatCode="0"/>
    </dxf>
    <dxf>
      <numFmt numFmtId="14" formatCode="0.00%"/>
    </dxf>
    <dxf>
      <font>
        <color theme="0"/>
      </font>
    </dxf>
    <dxf>
      <fill>
        <patternFill patternType="solid">
          <bgColor theme="1"/>
        </patternFill>
      </fill>
    </dxf>
    <dxf>
      <numFmt numFmtId="2" formatCode="0.00"/>
    </dxf>
    <dxf>
      <numFmt numFmtId="2" formatCode="0.00"/>
    </dxf>
    <dxf>
      <font>
        <color theme="0"/>
      </font>
    </dxf>
    <dxf>
      <fill>
        <patternFill patternType="solid">
          <bgColor theme="1"/>
        </patternFill>
      </fill>
    </dxf>
    <dxf>
      <numFmt numFmtId="2" formatCode="0.00"/>
    </dxf>
    <dxf>
      <numFmt numFmtId="2" formatCode="0.00"/>
    </dxf>
    <dxf>
      <numFmt numFmtId="2" formatCode="0.00"/>
    </dxf>
    <dxf>
      <font>
        <color theme="0"/>
      </font>
      <fill>
        <patternFill patternType="solid">
          <fgColor indexed="64"/>
          <bgColor theme="1"/>
        </patternFill>
      </fill>
    </dxf>
    <dxf>
      <numFmt numFmtId="2" formatCode="0.00"/>
    </dxf>
    <dxf>
      <font>
        <color theme="0"/>
      </font>
    </dxf>
    <dxf>
      <fill>
        <patternFill patternType="solid">
          <bgColor rgb="FF7030A0"/>
        </patternFill>
      </fill>
    </dxf>
    <dxf>
      <fill>
        <patternFill>
          <bgColor theme="1"/>
        </patternFill>
      </fill>
    </dxf>
    <dxf>
      <font>
        <color theme="0"/>
      </font>
    </dxf>
    <dxf>
      <fill>
        <patternFill patternType="solid">
          <bgColor theme="1"/>
        </patternFill>
      </fill>
    </dxf>
    <dxf>
      <font>
        <color theme="0"/>
      </font>
    </dxf>
    <dxf>
      <fill>
        <patternFill patternType="solid">
          <bgColor theme="1"/>
        </patternFill>
      </fill>
    </dxf>
    <dxf>
      <numFmt numFmtId="1" formatCode="0"/>
    </dxf>
    <dxf>
      <font>
        <color theme="0"/>
      </font>
      <fill>
        <patternFill patternType="solid">
          <fgColor indexed="64"/>
          <bgColor theme="1"/>
        </patternFill>
      </fill>
    </dxf>
    <dxf>
      <numFmt numFmtId="2" formatCode="0.00"/>
    </dxf>
    <dxf>
      <numFmt numFmtId="2" formatCode="0.00"/>
    </dxf>
    <dxf>
      <numFmt numFmtId="2" formatCode="0.00"/>
    </dxf>
    <dxf>
      <fill>
        <patternFill patternType="solid">
          <bgColor theme="1"/>
        </patternFill>
      </fill>
    </dxf>
    <dxf>
      <font>
        <color theme="0"/>
      </font>
    </dxf>
    <dxf>
      <numFmt numFmtId="2" formatCode="0.00"/>
    </dxf>
    <dxf>
      <numFmt numFmtId="2" formatCode="0.00"/>
    </dxf>
    <dxf>
      <fill>
        <patternFill patternType="solid">
          <bgColor theme="1"/>
        </patternFill>
      </fill>
    </dxf>
    <dxf>
      <font>
        <color theme="0"/>
      </font>
    </dxf>
    <dxf>
      <numFmt numFmtId="1" formatCode="0"/>
    </dxf>
    <dxf>
      <font>
        <color theme="0"/>
      </font>
      <fill>
        <patternFill patternType="solid">
          <fgColor indexed="64"/>
          <bgColor theme="1"/>
        </patternFill>
      </fill>
    </dxf>
    <dxf>
      <numFmt numFmtId="2" formatCode="0.00"/>
    </dxf>
    <dxf>
      <fill>
        <patternFill patternType="solid">
          <bgColor theme="1"/>
        </patternFill>
      </fill>
    </dxf>
    <dxf>
      <font>
        <color theme="0"/>
      </font>
    </dxf>
    <dxf>
      <font>
        <color theme="0"/>
      </font>
      <fill>
        <patternFill patternType="solid">
          <fgColor indexed="64"/>
          <bgColor theme="1"/>
        </patternFill>
      </fill>
    </dxf>
    <dxf>
      <numFmt numFmtId="2" formatCode="0.00"/>
    </dxf>
    <dxf>
      <numFmt numFmtId="1" formatCode="0"/>
    </dxf>
    <dxf>
      <font>
        <color theme="0"/>
      </font>
      <fill>
        <patternFill patternType="solid">
          <fgColor indexed="64"/>
          <bgColor theme="1"/>
        </patternFill>
      </fill>
    </dxf>
    <dxf>
      <numFmt numFmtId="2" formatCode="0.00"/>
    </dxf>
    <dxf>
      <fill>
        <patternFill>
          <bgColor theme="1"/>
        </patternFill>
      </fill>
    </dxf>
    <dxf>
      <fill>
        <patternFill patternType="solid">
          <bgColor rgb="FF7030A0"/>
        </patternFill>
      </fill>
    </dxf>
    <dxf>
      <font>
        <color theme="0"/>
      </font>
    </dxf>
    <dxf>
      <numFmt numFmtId="2" formatCode="0.00"/>
    </dxf>
    <dxf>
      <numFmt numFmtId="1" formatCode="0"/>
    </dxf>
    <dxf>
      <font>
        <color theme="0"/>
      </font>
      <fill>
        <patternFill patternType="solid">
          <fgColor indexed="64"/>
          <bgColor theme="1"/>
        </patternFill>
      </fill>
    </dxf>
    <dxf>
      <numFmt numFmtId="2" formatCode="0.00"/>
    </dxf>
    <dxf>
      <numFmt numFmtId="14" formatCode="0.00%"/>
    </dxf>
    <dxf>
      <numFmt numFmtId="1" formatCode="0"/>
    </dxf>
    <dxf>
      <font>
        <color theme="0"/>
      </font>
      <fill>
        <patternFill patternType="solid">
          <fgColor indexed="64"/>
          <bgColor theme="1"/>
        </patternFill>
      </fill>
    </dxf>
    <dxf>
      <numFmt numFmtId="2" formatCode="0.00"/>
    </dxf>
    <dxf>
      <fill>
        <patternFill patternType="solid">
          <bgColor theme="1"/>
        </patternFill>
      </fill>
    </dxf>
    <dxf>
      <font>
        <color theme="0"/>
      </font>
    </dxf>
    <dxf>
      <numFmt numFmtId="1" formatCode="0"/>
    </dxf>
    <dxf>
      <font>
        <color theme="0"/>
      </font>
      <fill>
        <patternFill patternType="solid">
          <fgColor indexed="64"/>
          <bgColor theme="1"/>
        </patternFill>
      </fill>
    </dxf>
    <dxf>
      <numFmt numFmtId="2" formatCode="0.00"/>
    </dxf>
    <dxf>
      <font>
        <b val="0"/>
        <i val="0"/>
        <sz val="11"/>
        <color theme="0"/>
        <name val="Century"/>
        <family val="1"/>
        <scheme val="none"/>
      </font>
      <fill>
        <patternFill patternType="solid">
          <fgColor theme="7" tint="0.39991454817346722"/>
          <bgColor rgb="FF9933FF"/>
        </patternFill>
      </fill>
    </dxf>
    <dxf>
      <font>
        <b/>
        <color theme="1"/>
      </font>
      <border>
        <bottom style="thin">
          <color theme="0" tint="-0.34998626667073579"/>
        </bottom>
        <vertical/>
        <horizontal/>
      </border>
    </dxf>
    <dxf>
      <font>
        <b val="0"/>
        <i val="0"/>
        <strike val="0"/>
        <sz val="11"/>
        <color theme="0"/>
        <name val="Century"/>
        <family val="1"/>
        <scheme val="none"/>
      </font>
      <fill>
        <patternFill patternType="darkGray">
          <fgColor rgb="FF7030A0"/>
          <bgColor rgb="FF7030A0"/>
        </patternFill>
      </fill>
      <border diagonalUp="0" diagonalDown="0">
        <left/>
        <right/>
        <top/>
        <bottom/>
        <vertical/>
        <horizontal/>
      </border>
    </dxf>
  </dxfs>
  <tableStyles count="2" defaultTableStyle="TableStyleMedium2" defaultPivotStyle="PivotStyleLight16">
    <tableStyle name="my style" pivot="0" table="0" count="10" xr9:uid="{03CA6A99-8EC8-45E6-AEF6-2D9C3D99569E}">
      <tableStyleElement type="wholeTable" dxfId="1001"/>
      <tableStyleElement type="headerRow" dxfId="1000"/>
    </tableStyle>
    <tableStyle name="myggbjmb" pivot="0" table="0" count="1" xr9:uid="{7B096232-545D-49BF-893A-F9161E017605}">
      <tableStyleElement type="wholeTable" dxfId="999"/>
    </tableStyle>
  </tableStyles>
  <colors>
    <mruColors>
      <color rgb="FF142740"/>
      <color rgb="FF1E3A5F"/>
      <color rgb="FF7030A0"/>
      <color rgb="FFF3FE68"/>
      <color rgb="FFCC99FF"/>
      <color rgb="FFA66BD3"/>
      <color rgb="FF9C5BCD"/>
      <color rgb="FF9933FF"/>
      <color rgb="FF893BC3"/>
      <color rgb="FFDC2C6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myggbjmb"/>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0"/>
  </c:pivotSource>
  <c:chart>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none" lIns="0" tIns="0" rIns="0" bIns="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7030A0"/>
          </a:solidFill>
          <a:ln>
            <a:noFill/>
          </a:ln>
          <a:effectLst/>
        </c:spPr>
        <c:dLbl>
          <c:idx val="0"/>
          <c:tx>
            <c:rich>
              <a:bodyPr rot="0" spcFirstLastPara="1" vertOverflow="ellipsis" vert="horz" wrap="none" lIns="0" tIns="0" rIns="0" bIns="0" anchor="ctr" anchorCtr="1">
                <a:spAutoFit/>
              </a:bodyPr>
              <a:lstStyle/>
              <a:p>
                <a:pPr>
                  <a:defRPr sz="900" b="0" i="0" u="none" strike="noStrike" kern="1200" baseline="0">
                    <a:solidFill>
                      <a:schemeClr val="tx1"/>
                    </a:solidFill>
                    <a:latin typeface="+mn-lt"/>
                    <a:ea typeface="+mn-ea"/>
                    <a:cs typeface="+mn-cs"/>
                  </a:defRPr>
                </a:pPr>
                <a:fld id="{CFB04F24-6F11-4084-AB40-44D944605A82}" type="CELLRANGE">
                  <a:rPr lang="en-US">
                    <a:solidFill>
                      <a:schemeClr val="tx1"/>
                    </a:solidFill>
                  </a:rPr>
                  <a:pPr>
                    <a:defRPr sz="900" b="0" i="0" u="none" strike="noStrike" kern="1200" baseline="0">
                      <a:solidFill>
                        <a:schemeClr val="tx1"/>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rgbClr val="7030A0"/>
          </a:solidFill>
          <a:ln>
            <a:noFill/>
          </a:ln>
          <a:effectLst/>
        </c:spPr>
        <c:dLbl>
          <c:idx val="0"/>
          <c:tx>
            <c:rich>
              <a:bodyPr rot="0" spcFirstLastPara="1" vertOverflow="ellipsis" vert="horz" wrap="none" lIns="0" tIns="0" rIns="0" bIns="0" anchor="ctr" anchorCtr="1">
                <a:spAutoFit/>
              </a:bodyPr>
              <a:lstStyle/>
              <a:p>
                <a:pPr>
                  <a:defRPr sz="900" b="0" i="0" u="none" strike="noStrike" kern="1200" baseline="0">
                    <a:solidFill>
                      <a:schemeClr val="tx1"/>
                    </a:solidFill>
                    <a:latin typeface="+mn-lt"/>
                    <a:ea typeface="+mn-ea"/>
                    <a:cs typeface="+mn-cs"/>
                  </a:defRPr>
                </a:pPr>
                <a:fld id="{16AC9F32-78F8-4BD3-8AF9-2C72F0A5DCF6}" type="CELLRANGE">
                  <a:rPr lang="en-US">
                    <a:solidFill>
                      <a:schemeClr val="tx1"/>
                    </a:solidFill>
                  </a:rPr>
                  <a:pPr>
                    <a:defRPr sz="900" b="0" i="0" u="none" strike="noStrike" kern="1200" baseline="0">
                      <a:solidFill>
                        <a:schemeClr val="tx1"/>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0.12111447607510598"/>
          <c:y val="0.30428176207703772"/>
          <c:w val="0.69992168091288065"/>
          <c:h val="0.68857487408668516"/>
        </c:manualLayout>
      </c:layout>
      <c:barChart>
        <c:barDir val="bar"/>
        <c:grouping val="clustered"/>
        <c:varyColors val="0"/>
        <c:ser>
          <c:idx val="0"/>
          <c:order val="0"/>
          <c:tx>
            <c:strRef>
              <c:f>'Pivot Report'!$B$37</c:f>
              <c:strCache>
                <c:ptCount val="1"/>
                <c:pt idx="0">
                  <c:v>Count of Patient Admission Flag</c:v>
                </c:pt>
              </c:strCache>
            </c:strRef>
          </c:tx>
          <c:spPr>
            <a:solidFill>
              <a:srgbClr val="7030A0"/>
            </a:solidFill>
            <a:ln>
              <a:noFill/>
            </a:ln>
            <a:effectLst/>
          </c:spPr>
          <c:invertIfNegative val="0"/>
          <c:dPt>
            <c:idx val="0"/>
            <c:invertIfNegative val="0"/>
            <c:bubble3D val="0"/>
          </c:dPt>
          <c:dPt>
            <c:idx val="1"/>
            <c:invertIfNegative val="0"/>
            <c:bubble3D val="0"/>
          </c:dPt>
          <c:dLbls>
            <c:dLbl>
              <c:idx val="0"/>
              <c:tx>
                <c:rich>
                  <a:bodyPr rot="0" spcFirstLastPara="1" vertOverflow="ellipsis" vert="horz" wrap="none" lIns="0" tIns="0" rIns="0" bIns="0" anchor="ctr" anchorCtr="1">
                    <a:spAutoFit/>
                  </a:bodyPr>
                  <a:lstStyle/>
                  <a:p>
                    <a:pPr>
                      <a:defRPr sz="900" b="0" i="0" u="none" strike="noStrike" kern="1200" baseline="0">
                        <a:solidFill>
                          <a:schemeClr val="tx1"/>
                        </a:solidFill>
                        <a:latin typeface="+mn-lt"/>
                        <a:ea typeface="+mn-ea"/>
                        <a:cs typeface="+mn-cs"/>
                      </a:defRPr>
                    </a:pPr>
                    <a:fld id="{16AC9F32-78F8-4BD3-8AF9-2C72F0A5DCF6}" type="CELLRANGE">
                      <a:rPr lang="en-US">
                        <a:solidFill>
                          <a:schemeClr val="tx1"/>
                        </a:solidFill>
                      </a:rPr>
                      <a:pPr>
                        <a:defRPr sz="900" b="0" i="0" u="none" strike="noStrike" kern="1200" baseline="0">
                          <a:solidFill>
                            <a:schemeClr val="tx1"/>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dLbl>
              <c:idx val="1"/>
              <c:tx>
                <c:rich>
                  <a:bodyPr rot="0" spcFirstLastPara="1" vertOverflow="ellipsis" vert="horz" wrap="none" lIns="0" tIns="0" rIns="0" bIns="0" anchor="ctr" anchorCtr="1">
                    <a:spAutoFit/>
                  </a:bodyPr>
                  <a:lstStyle/>
                  <a:p>
                    <a:pPr>
                      <a:defRPr sz="900" b="0" i="0" u="none" strike="noStrike" kern="1200" baseline="0">
                        <a:solidFill>
                          <a:schemeClr val="tx1"/>
                        </a:solidFill>
                        <a:latin typeface="+mn-lt"/>
                        <a:ea typeface="+mn-ea"/>
                        <a:cs typeface="+mn-cs"/>
                      </a:defRPr>
                    </a:pPr>
                    <a:fld id="{CFB04F24-6F11-4084-AB40-44D944605A82}" type="CELLRANGE">
                      <a:rPr lang="en-US">
                        <a:solidFill>
                          <a:schemeClr val="tx1"/>
                        </a:solidFill>
                      </a:rPr>
                      <a:pPr>
                        <a:defRPr sz="900" b="0" i="0" u="none" strike="noStrike" kern="1200" baseline="0">
                          <a:solidFill>
                            <a:schemeClr val="tx1"/>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spPr>
              <a:noFill/>
              <a:ln>
                <a:noFill/>
              </a:ln>
              <a:effectLst/>
            </c:spPr>
            <c:txPr>
              <a:bodyPr rot="0" spcFirstLastPara="1" vertOverflow="ellipsis" vert="horz" wrap="none" lIns="0" tIns="0" rIns="0" bIns="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ext>
            </c:extLst>
          </c:dLbls>
          <c:cat>
            <c:strRef>
              <c:f>'Pivot Report'!$A$38:$A$40</c:f>
              <c:strCache>
                <c:ptCount val="2"/>
                <c:pt idx="0">
                  <c:v>Admitted</c:v>
                </c:pt>
                <c:pt idx="1">
                  <c:v>Not Admitted</c:v>
                </c:pt>
              </c:strCache>
            </c:strRef>
          </c:cat>
          <c:val>
            <c:numRef>
              <c:f>'Pivot Report'!$B$38:$B$40</c:f>
              <c:numCache>
                <c:formatCode>0</c:formatCode>
                <c:ptCount val="2"/>
                <c:pt idx="0">
                  <c:v>266</c:v>
                </c:pt>
                <c:pt idx="1">
                  <c:v>222</c:v>
                </c:pt>
              </c:numCache>
            </c:numRef>
          </c:val>
          <c:extLst>
            <c:ext xmlns:c16="http://schemas.microsoft.com/office/drawing/2014/chart" uri="{C3380CC4-5D6E-409C-BE32-E72D297353CC}">
              <c16:uniqueId val="{00000002-0FCC-4EFB-8CEB-C04874BDB4BB}"/>
            </c:ext>
          </c:extLst>
        </c:ser>
        <c:ser>
          <c:idx val="1"/>
          <c:order val="1"/>
          <c:tx>
            <c:strRef>
              <c:f>'Pivot Report'!$C$37</c:f>
              <c:strCache>
                <c:ptCount val="1"/>
                <c:pt idx="0">
                  <c:v>Count of Patient Admission Flag2</c:v>
                </c:pt>
              </c:strCache>
            </c:strRef>
          </c:tx>
          <c:spPr>
            <a:solidFill>
              <a:schemeClr val="accent2"/>
            </a:solidFill>
            <a:ln>
              <a:noFill/>
            </a:ln>
            <a:effectLst/>
          </c:spPr>
          <c:invertIfNegative val="0"/>
          <c:cat>
            <c:strRef>
              <c:f>'Pivot Report'!$A$38:$A$40</c:f>
              <c:strCache>
                <c:ptCount val="2"/>
                <c:pt idx="0">
                  <c:v>Admitted</c:v>
                </c:pt>
                <c:pt idx="1">
                  <c:v>Not Admitted</c:v>
                </c:pt>
              </c:strCache>
            </c:strRef>
          </c:cat>
          <c:val>
            <c:numRef>
              <c:f>'Pivot Report'!$C$38:$C$40</c:f>
              <c:numCache>
                <c:formatCode>0.00%</c:formatCode>
                <c:ptCount val="2"/>
                <c:pt idx="0">
                  <c:v>0.54508196721311475</c:v>
                </c:pt>
                <c:pt idx="1">
                  <c:v>0.45491803278688525</c:v>
                </c:pt>
              </c:numCache>
            </c:numRef>
          </c:val>
          <c:extLst>
            <c:ext xmlns:c16="http://schemas.microsoft.com/office/drawing/2014/chart" uri="{C3380CC4-5D6E-409C-BE32-E72D297353CC}">
              <c16:uniqueId val="{00000003-0FCC-4EFB-8CEB-C04874BDB4BB}"/>
            </c:ext>
          </c:extLst>
        </c:ser>
        <c:dLbls>
          <c:showLegendKey val="0"/>
          <c:showVal val="0"/>
          <c:showCatName val="0"/>
          <c:showSerName val="0"/>
          <c:showPercent val="0"/>
          <c:showBubbleSize val="0"/>
        </c:dLbls>
        <c:gapWidth val="182"/>
        <c:axId val="971235743"/>
        <c:axId val="971238239"/>
      </c:barChart>
      <c:catAx>
        <c:axId val="971235743"/>
        <c:scaling>
          <c:orientation val="minMax"/>
        </c:scaling>
        <c:delete val="1"/>
        <c:axPos val="l"/>
        <c:numFmt formatCode="General" sourceLinked="1"/>
        <c:majorTickMark val="none"/>
        <c:minorTickMark val="none"/>
        <c:tickLblPos val="nextTo"/>
        <c:crossAx val="971238239"/>
        <c:crosses val="autoZero"/>
        <c:auto val="1"/>
        <c:lblAlgn val="ctr"/>
        <c:lblOffset val="100"/>
        <c:noMultiLvlLbl val="0"/>
      </c:catAx>
      <c:valAx>
        <c:axId val="971238239"/>
        <c:scaling>
          <c:orientation val="minMax"/>
        </c:scaling>
        <c:delete val="1"/>
        <c:axPos val="b"/>
        <c:numFmt formatCode="0" sourceLinked="1"/>
        <c:majorTickMark val="none"/>
        <c:minorTickMark val="none"/>
        <c:tickLblPos val="nextTo"/>
        <c:crossAx val="97123574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5"/>
  </c:pivotSource>
  <c:chart>
    <c:autoTitleDeleted val="1"/>
    <c:pivotFmts>
      <c:pivotFmt>
        <c:idx val="0"/>
        <c:spPr>
          <a:solidFill>
            <a:srgbClr val="7030A0"/>
          </a:solidFill>
          <a:ln>
            <a:noFill/>
          </a:ln>
          <a:effectLst/>
        </c:spPr>
        <c:marker>
          <c:symbol val="circle"/>
          <c:size val="5"/>
          <c:spPr>
            <a:solidFill>
              <a:srgbClr val="7030A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795108037461967E-2"/>
          <c:y val="0.11287429247358081"/>
          <c:w val="0.9892048919625378"/>
          <c:h val="0.86500786955119113"/>
        </c:manualLayout>
      </c:layout>
      <c:areaChart>
        <c:grouping val="standard"/>
        <c:varyColors val="0"/>
        <c:ser>
          <c:idx val="0"/>
          <c:order val="0"/>
          <c:tx>
            <c:strRef>
              <c:f>'Pivot Report'!$E$4</c:f>
              <c:strCache>
                <c:ptCount val="1"/>
                <c:pt idx="0">
                  <c:v>Total</c:v>
                </c:pt>
              </c:strCache>
            </c:strRef>
          </c:tx>
          <c:spPr>
            <a:solidFill>
              <a:srgbClr val="7030A0"/>
            </a:solidFill>
            <a:ln w="25400">
              <a:noFill/>
            </a:ln>
            <a:effectLst/>
          </c:spPr>
          <c:cat>
            <c:strRef>
              <c:f>'Pivot Report'!$D$5:$D$36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Report'!$E$5:$E$36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1-1394-48A4-A042-F3360E403280}"/>
            </c:ext>
          </c:extLst>
        </c:ser>
        <c:dLbls>
          <c:showLegendKey val="0"/>
          <c:showVal val="0"/>
          <c:showCatName val="0"/>
          <c:showSerName val="0"/>
          <c:showPercent val="0"/>
          <c:showBubbleSize val="0"/>
        </c:dLbls>
        <c:axId val="413910415"/>
        <c:axId val="413900015"/>
      </c:areaChart>
      <c:catAx>
        <c:axId val="413910415"/>
        <c:scaling>
          <c:orientation val="minMax"/>
        </c:scaling>
        <c:delete val="1"/>
        <c:axPos val="b"/>
        <c:numFmt formatCode="General" sourceLinked="1"/>
        <c:majorTickMark val="out"/>
        <c:minorTickMark val="none"/>
        <c:tickLblPos val="nextTo"/>
        <c:crossAx val="413900015"/>
        <c:crosses val="autoZero"/>
        <c:auto val="1"/>
        <c:lblAlgn val="ctr"/>
        <c:lblOffset val="100"/>
        <c:noMultiLvlLbl val="0"/>
      </c:catAx>
      <c:valAx>
        <c:axId val="413900015"/>
        <c:scaling>
          <c:orientation val="minMax"/>
        </c:scaling>
        <c:delete val="1"/>
        <c:axPos val="l"/>
        <c:numFmt formatCode="General" sourceLinked="1"/>
        <c:majorTickMark val="none"/>
        <c:minorTickMark val="none"/>
        <c:tickLblPos val="nextTo"/>
        <c:crossAx val="413910415"/>
        <c:crosses val="autoZero"/>
        <c:crossBetween val="midCat"/>
      </c:valAx>
      <c:spPr>
        <a:gradFill>
          <a:gsLst>
            <a:gs pos="5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379251304557472E-2"/>
          <c:y val="0.10071238046635553"/>
          <c:w val="0.98962074869544236"/>
          <c:h val="0.8943653405095553"/>
        </c:manualLayout>
      </c:layout>
      <c:areaChart>
        <c:grouping val="standard"/>
        <c:varyColors val="0"/>
        <c:ser>
          <c:idx val="0"/>
          <c:order val="0"/>
          <c:tx>
            <c:strRef>
              <c:f>'Pivot Report'!$H$4</c:f>
              <c:strCache>
                <c:ptCount val="1"/>
                <c:pt idx="0">
                  <c:v>Total</c:v>
                </c:pt>
              </c:strCache>
            </c:strRef>
          </c:tx>
          <c:spPr>
            <a:solidFill>
              <a:srgbClr val="7030A0"/>
            </a:solidFill>
            <a:ln>
              <a:solidFill>
                <a:srgbClr val="7030A0"/>
              </a:solidFill>
            </a:ln>
            <a:effectLst/>
          </c:spPr>
          <c:cat>
            <c:strRef>
              <c:f>'Pivot Report'!$G$5:$G$36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Report'!$H$5:$H$36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1-CBED-4831-B411-F0E73641D0CE}"/>
            </c:ext>
          </c:extLst>
        </c:ser>
        <c:dLbls>
          <c:showLegendKey val="0"/>
          <c:showVal val="0"/>
          <c:showCatName val="0"/>
          <c:showSerName val="0"/>
          <c:showPercent val="0"/>
          <c:showBubbleSize val="0"/>
        </c:dLbls>
        <c:axId val="256387183"/>
        <c:axId val="256393007"/>
      </c:areaChart>
      <c:catAx>
        <c:axId val="256387183"/>
        <c:scaling>
          <c:orientation val="minMax"/>
        </c:scaling>
        <c:delete val="1"/>
        <c:axPos val="b"/>
        <c:numFmt formatCode="General" sourceLinked="1"/>
        <c:majorTickMark val="out"/>
        <c:minorTickMark val="none"/>
        <c:tickLblPos val="nextTo"/>
        <c:crossAx val="256393007"/>
        <c:crosses val="autoZero"/>
        <c:auto val="1"/>
        <c:lblAlgn val="ctr"/>
        <c:lblOffset val="100"/>
        <c:noMultiLvlLbl val="0"/>
      </c:catAx>
      <c:valAx>
        <c:axId val="256393007"/>
        <c:scaling>
          <c:orientation val="minMax"/>
        </c:scaling>
        <c:delete val="1"/>
        <c:axPos val="l"/>
        <c:numFmt formatCode="0.00" sourceLinked="1"/>
        <c:majorTickMark val="none"/>
        <c:minorTickMark val="none"/>
        <c:tickLblPos val="nextTo"/>
        <c:crossAx val="256387183"/>
        <c:crosses val="autoZero"/>
        <c:crossBetween val="midCat"/>
      </c:valAx>
      <c:spPr>
        <a:gradFill>
          <a:gsLst>
            <a:gs pos="5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6875017470409009"/>
          <c:w val="1"/>
          <c:h val="0.81237240786504783"/>
        </c:manualLayout>
      </c:layout>
      <c:areaChart>
        <c:grouping val="standard"/>
        <c:varyColors val="0"/>
        <c:ser>
          <c:idx val="0"/>
          <c:order val="0"/>
          <c:tx>
            <c:strRef>
              <c:f>'Pivot Report'!$K$4</c:f>
              <c:strCache>
                <c:ptCount val="1"/>
                <c:pt idx="0">
                  <c:v>Total</c:v>
                </c:pt>
              </c:strCache>
            </c:strRef>
          </c:tx>
          <c:spPr>
            <a:solidFill>
              <a:srgbClr val="7030A0"/>
            </a:solidFill>
            <a:ln w="25400">
              <a:noFill/>
            </a:ln>
            <a:effectLst/>
          </c:spPr>
          <c:cat>
            <c:strRef>
              <c:f>'Pivot Report'!$J$5:$J$36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Report'!$K$5:$K$36</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1-B135-4913-8AF7-ABAA0F1A65D7}"/>
            </c:ext>
          </c:extLst>
        </c:ser>
        <c:dLbls>
          <c:showLegendKey val="0"/>
          <c:showVal val="0"/>
          <c:showCatName val="0"/>
          <c:showSerName val="0"/>
          <c:showPercent val="0"/>
          <c:showBubbleSize val="0"/>
        </c:dLbls>
        <c:axId val="971226591"/>
        <c:axId val="971227423"/>
      </c:areaChart>
      <c:catAx>
        <c:axId val="971226591"/>
        <c:scaling>
          <c:orientation val="minMax"/>
        </c:scaling>
        <c:delete val="1"/>
        <c:axPos val="b"/>
        <c:numFmt formatCode="General" sourceLinked="1"/>
        <c:majorTickMark val="out"/>
        <c:minorTickMark val="none"/>
        <c:tickLblPos val="nextTo"/>
        <c:crossAx val="971227423"/>
        <c:crosses val="autoZero"/>
        <c:auto val="1"/>
        <c:lblAlgn val="ctr"/>
        <c:lblOffset val="100"/>
        <c:noMultiLvlLbl val="0"/>
      </c:catAx>
      <c:valAx>
        <c:axId val="971227423"/>
        <c:scaling>
          <c:orientation val="minMax"/>
        </c:scaling>
        <c:delete val="1"/>
        <c:axPos val="l"/>
        <c:numFmt formatCode="0.00" sourceLinked="1"/>
        <c:majorTickMark val="none"/>
        <c:minorTickMark val="none"/>
        <c:tickLblPos val="nextTo"/>
        <c:crossAx val="971226591"/>
        <c:crosses val="autoZero"/>
        <c:crossBetween val="midCat"/>
      </c:valAx>
      <c:spPr>
        <a:gradFill>
          <a:gsLst>
            <a:gs pos="5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11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732471201583398E-2"/>
          <c:y val="3.5177988088610654E-2"/>
          <c:w val="0.93888888888888888"/>
          <c:h val="0.69133063033727926"/>
        </c:manualLayout>
      </c:layout>
      <c:barChart>
        <c:barDir val="col"/>
        <c:grouping val="clustered"/>
        <c:varyColors val="0"/>
        <c:ser>
          <c:idx val="0"/>
          <c:order val="0"/>
          <c:tx>
            <c:strRef>
              <c:f>'Pivot Report'!$B$48</c:f>
              <c:strCache>
                <c:ptCount val="1"/>
                <c:pt idx="0">
                  <c:v>Total</c:v>
                </c:pt>
              </c:strCache>
            </c:strRef>
          </c:tx>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Report'!$A$49:$A$57</c:f>
              <c:strCache>
                <c:ptCount val="8"/>
                <c:pt idx="0">
                  <c:v>0-09</c:v>
                </c:pt>
                <c:pt idx="1">
                  <c:v>10-19</c:v>
                </c:pt>
                <c:pt idx="2">
                  <c:v>20-29</c:v>
                </c:pt>
                <c:pt idx="3">
                  <c:v>30-39</c:v>
                </c:pt>
                <c:pt idx="4">
                  <c:v>40-49</c:v>
                </c:pt>
                <c:pt idx="5">
                  <c:v>50-59</c:v>
                </c:pt>
                <c:pt idx="6">
                  <c:v>60-69</c:v>
                </c:pt>
                <c:pt idx="7">
                  <c:v>70-79</c:v>
                </c:pt>
              </c:strCache>
            </c:strRef>
          </c:cat>
          <c:val>
            <c:numRef>
              <c:f>'Pivot Report'!$B$49:$B$57</c:f>
              <c:numCache>
                <c:formatCode>0</c:formatCode>
                <c:ptCount val="8"/>
                <c:pt idx="0">
                  <c:v>62</c:v>
                </c:pt>
                <c:pt idx="1">
                  <c:v>73</c:v>
                </c:pt>
                <c:pt idx="2">
                  <c:v>49</c:v>
                </c:pt>
                <c:pt idx="3">
                  <c:v>44</c:v>
                </c:pt>
                <c:pt idx="4">
                  <c:v>72</c:v>
                </c:pt>
                <c:pt idx="5">
                  <c:v>71</c:v>
                </c:pt>
                <c:pt idx="6">
                  <c:v>59</c:v>
                </c:pt>
                <c:pt idx="7">
                  <c:v>58</c:v>
                </c:pt>
              </c:numCache>
            </c:numRef>
          </c:val>
          <c:extLst>
            <c:ext xmlns:c16="http://schemas.microsoft.com/office/drawing/2014/chart" uri="{C3380CC4-5D6E-409C-BE32-E72D297353CC}">
              <c16:uniqueId val="{00000001-8823-4DB3-8934-85A65DAD23F7}"/>
            </c:ext>
          </c:extLst>
        </c:ser>
        <c:dLbls>
          <c:dLblPos val="inEnd"/>
          <c:showLegendKey val="0"/>
          <c:showVal val="1"/>
          <c:showCatName val="0"/>
          <c:showSerName val="0"/>
          <c:showPercent val="0"/>
          <c:showBubbleSize val="0"/>
        </c:dLbls>
        <c:gapWidth val="65"/>
        <c:axId val="140066032"/>
        <c:axId val="140076432"/>
      </c:barChart>
      <c:catAx>
        <c:axId val="140066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40076432"/>
        <c:crosses val="autoZero"/>
        <c:auto val="1"/>
        <c:lblAlgn val="ctr"/>
        <c:lblOffset val="100"/>
        <c:noMultiLvlLbl val="0"/>
      </c:catAx>
      <c:valAx>
        <c:axId val="140076432"/>
        <c:scaling>
          <c:orientation val="minMax"/>
        </c:scaling>
        <c:delete val="1"/>
        <c:axPos val="l"/>
        <c:numFmt formatCode="0" sourceLinked="1"/>
        <c:majorTickMark val="none"/>
        <c:minorTickMark val="none"/>
        <c:tickLblPos val="nextTo"/>
        <c:crossAx val="14006603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125"/>
  </c:pivotSource>
  <c:chart>
    <c:autoTitleDeleted val="1"/>
    <c:pivotFmts>
      <c:pivotFmt>
        <c:idx val="0"/>
      </c:pivotFmt>
      <c:pivotFmt>
        <c:idx val="1"/>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25692943132648893"/>
                  <c:h val="0.12891386833678986"/>
                </c:manualLayout>
              </c15:layout>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24702467298699435"/>
                  <c:h val="0.14526826686515151"/>
                </c:manualLayout>
              </c15:layout>
            </c:ext>
          </c:extLst>
        </c:dLbl>
      </c:pivotFmt>
    </c:pivotFmts>
    <c:plotArea>
      <c:layout>
        <c:manualLayout>
          <c:layoutTarget val="inner"/>
          <c:xMode val="edge"/>
          <c:yMode val="edge"/>
          <c:x val="0.11039143153173021"/>
          <c:y val="0.15385302054914782"/>
          <c:w val="0.77482055400440253"/>
          <c:h val="0.68686710705121878"/>
        </c:manualLayout>
      </c:layout>
      <c:pieChart>
        <c:varyColors val="1"/>
        <c:ser>
          <c:idx val="0"/>
          <c:order val="0"/>
          <c:tx>
            <c:strRef>
              <c:f>'Pivot Report'!$F$48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25692943132648893"/>
                      <c:h val="0.12891386833678986"/>
                    </c:manualLayout>
                  </c15:layout>
                </c:ext>
              </c:extLst>
            </c:dLbl>
            <c:dLbl>
              <c:idx val="1"/>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24702467298699435"/>
                      <c:h val="0.14526826686515151"/>
                    </c:manualLayout>
                  </c15:layout>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Report'!$E$49:$E$51</c:f>
              <c:strCache>
                <c:ptCount val="2"/>
                <c:pt idx="0">
                  <c:v>Delay</c:v>
                </c:pt>
                <c:pt idx="1">
                  <c:v>On time</c:v>
                </c:pt>
              </c:strCache>
            </c:strRef>
          </c:cat>
          <c:val>
            <c:numRef>
              <c:f>'Pivot Report'!$F$49:$F$51</c:f>
              <c:numCache>
                <c:formatCode>0</c:formatCode>
                <c:ptCount val="2"/>
                <c:pt idx="0">
                  <c:v>288</c:v>
                </c:pt>
                <c:pt idx="1">
                  <c:v>200</c:v>
                </c:pt>
              </c:numCache>
            </c:numRef>
          </c:val>
          <c:extLst>
            <c:ext xmlns:c16="http://schemas.microsoft.com/office/drawing/2014/chart" uri="{C3380CC4-5D6E-409C-BE32-E72D297353CC}">
              <c16:uniqueId val="{00000005-1D59-40AE-A03B-378F9F50934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ayout>
        <c:manualLayout>
          <c:xMode val="edge"/>
          <c:yMode val="edge"/>
          <c:x val="0.1216271434694141"/>
          <c:y val="4.3207508473000748E-2"/>
          <c:w val="0.77827340703969239"/>
          <c:h val="0.1171214372452013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1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dLbl>
          <c:idx val="0"/>
          <c:layout>
            <c:manualLayout>
              <c:x val="-1.5662653574168215E-2"/>
              <c:y val="6.7034617655464257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6318437779800358"/>
                  <c:h val="0.18717165859959445"/>
                </c:manualLayout>
              </c15:layout>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
              <c:y val="3.3517874364807611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7362614684744907"/>
                  <c:h val="0.17759523078813999"/>
                </c:manualLayout>
              </c15:layout>
            </c:ext>
          </c:extLst>
        </c:dLbl>
      </c:pivotFmt>
    </c:pivotFmts>
    <c:plotArea>
      <c:layout>
        <c:manualLayout>
          <c:layoutTarget val="inner"/>
          <c:xMode val="edge"/>
          <c:yMode val="edge"/>
          <c:x val="0.13257429072022722"/>
          <c:y val="0.15407718299196257"/>
          <c:w val="0.75816616225522493"/>
          <c:h val="0.69533462074706698"/>
        </c:manualLayout>
      </c:layout>
      <c:doughnutChart>
        <c:varyColors val="1"/>
        <c:ser>
          <c:idx val="0"/>
          <c:order val="0"/>
          <c:tx>
            <c:strRef>
              <c:f>'Pivot Report'!$F$55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dLbl>
              <c:idx val="0"/>
              <c:layout>
                <c:manualLayout>
                  <c:x val="-1.5662653574168215E-2"/>
                  <c:y val="6.7034617655464257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6318437779800358"/>
                      <c:h val="0.18717165859959445"/>
                    </c:manualLayout>
                  </c15:layout>
                </c:ext>
              </c:extLst>
            </c:dLbl>
            <c:dLbl>
              <c:idx val="1"/>
              <c:layout>
                <c:manualLayout>
                  <c:x val="0"/>
                  <c:y val="3.3517874364807611E-2"/>
                </c:manualLayout>
              </c:layout>
              <c:spPr>
                <a:noFill/>
                <a:ln>
                  <a:noFill/>
                </a:ln>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7362614684744907"/>
                      <c:h val="0.17759523078813999"/>
                    </c:manualLayout>
                  </c15:layout>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Report'!$E$56:$E$58</c:f>
              <c:strCache>
                <c:ptCount val="2"/>
                <c:pt idx="0">
                  <c:v>Female</c:v>
                </c:pt>
                <c:pt idx="1">
                  <c:v>Male</c:v>
                </c:pt>
              </c:strCache>
            </c:strRef>
          </c:cat>
          <c:val>
            <c:numRef>
              <c:f>'Pivot Report'!$F$56:$F$58</c:f>
              <c:numCache>
                <c:formatCode>0</c:formatCode>
                <c:ptCount val="2"/>
                <c:pt idx="0">
                  <c:v>232</c:v>
                </c:pt>
                <c:pt idx="1">
                  <c:v>256</c:v>
                </c:pt>
              </c:numCache>
            </c:numRef>
          </c:val>
          <c:extLst>
            <c:ext xmlns:c16="http://schemas.microsoft.com/office/drawing/2014/chart" uri="{C3380CC4-5D6E-409C-BE32-E72D297353CC}">
              <c16:uniqueId val="{00000005-7330-4693-A2C7-884E36D6680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2.0883538098890951E-2"/>
          <c:y val="6.8040306985912066E-3"/>
          <c:w val="0.92851416915172547"/>
          <c:h val="0.1322849532653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1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63995959450669"/>
          <c:y val="0"/>
          <c:w val="0.57085018257660203"/>
          <c:h val="1"/>
        </c:manualLayout>
      </c:layout>
      <c:barChart>
        <c:barDir val="bar"/>
        <c:grouping val="clustered"/>
        <c:varyColors val="0"/>
        <c:ser>
          <c:idx val="0"/>
          <c:order val="0"/>
          <c:tx>
            <c:strRef>
              <c:f>'Pivot Report'!$B$60</c:f>
              <c:strCache>
                <c:ptCount val="1"/>
                <c:pt idx="0">
                  <c:v>Total</c:v>
                </c:pt>
              </c:strCache>
            </c:strRef>
          </c:tx>
          <c:spPr>
            <a:gradFill>
              <a:gsLst>
                <a:gs pos="500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Report'!$A$61:$A$69</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Report'!$B$61:$B$69</c:f>
              <c:numCache>
                <c:formatCode>0</c:formatCode>
                <c:ptCount val="8"/>
                <c:pt idx="0">
                  <c:v>4</c:v>
                </c:pt>
                <c:pt idx="1">
                  <c:v>7</c:v>
                </c:pt>
                <c:pt idx="2">
                  <c:v>11</c:v>
                </c:pt>
                <c:pt idx="3">
                  <c:v>11</c:v>
                </c:pt>
                <c:pt idx="4">
                  <c:v>12</c:v>
                </c:pt>
                <c:pt idx="5">
                  <c:v>60</c:v>
                </c:pt>
                <c:pt idx="6">
                  <c:v>93</c:v>
                </c:pt>
                <c:pt idx="7">
                  <c:v>290</c:v>
                </c:pt>
              </c:numCache>
            </c:numRef>
          </c:val>
          <c:extLst>
            <c:ext xmlns:c16="http://schemas.microsoft.com/office/drawing/2014/chart" uri="{C3380CC4-5D6E-409C-BE32-E72D297353CC}">
              <c16:uniqueId val="{00000001-7CDC-4B4A-BB7C-3E40EE050FEF}"/>
            </c:ext>
          </c:extLst>
        </c:ser>
        <c:dLbls>
          <c:showLegendKey val="0"/>
          <c:showVal val="0"/>
          <c:showCatName val="0"/>
          <c:showSerName val="0"/>
          <c:showPercent val="0"/>
          <c:showBubbleSize val="0"/>
        </c:dLbls>
        <c:gapWidth val="182"/>
        <c:axId val="701257024"/>
        <c:axId val="701251200"/>
      </c:barChart>
      <c:catAx>
        <c:axId val="7012570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t" anchorCtr="0"/>
          <a:lstStyle/>
          <a:p>
            <a:pPr>
              <a:defRPr sz="1000" b="0" i="0" u="none" strike="noStrike" kern="1200" baseline="0">
                <a:solidFill>
                  <a:schemeClr val="bg1"/>
                </a:solidFill>
                <a:latin typeface="+mn-lt"/>
                <a:ea typeface="+mn-ea"/>
                <a:cs typeface="+mn-cs"/>
              </a:defRPr>
            </a:pPr>
            <a:endParaRPr lang="en-US"/>
          </a:p>
        </c:txPr>
        <c:crossAx val="701251200"/>
        <c:crosses val="autoZero"/>
        <c:auto val="1"/>
        <c:lblAlgn val="ctr"/>
        <c:lblOffset val="100"/>
        <c:noMultiLvlLbl val="0"/>
      </c:catAx>
      <c:valAx>
        <c:axId val="701251200"/>
        <c:scaling>
          <c:orientation val="minMax"/>
        </c:scaling>
        <c:delete val="1"/>
        <c:axPos val="b"/>
        <c:numFmt formatCode="0" sourceLinked="1"/>
        <c:majorTickMark val="none"/>
        <c:minorTickMark val="none"/>
        <c:tickLblPos val="nextTo"/>
        <c:crossAx val="70125702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852488899982606E-2"/>
          <c:y val="0"/>
          <c:w val="0.92454925335086113"/>
          <c:h val="0.85668399384879901"/>
        </c:manualLayout>
      </c:layout>
      <c:areaChart>
        <c:grouping val="standard"/>
        <c:varyColors val="0"/>
        <c:ser>
          <c:idx val="0"/>
          <c:order val="0"/>
          <c:tx>
            <c:strRef>
              <c:f>'Pivot Report'!$H$4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Report'!$H$5:$H$36</c:f>
              <c:numCache>
                <c:formatCode>0.00</c:formatCode>
                <c:ptCount val="31"/>
                <c:pt idx="0">
                  <c:v>36.941176470588232</c:v>
                </c:pt>
                <c:pt idx="1">
                  <c:v>30.842105263157894</c:v>
                </c:pt>
                <c:pt idx="2">
                  <c:v>31.833333333333332</c:v>
                </c:pt>
                <c:pt idx="3">
                  <c:v>33.777777777777779</c:v>
                </c:pt>
                <c:pt idx="4">
                  <c:v>30.466666666666665</c:v>
                </c:pt>
                <c:pt idx="5">
                  <c:v>38.799999999999997</c:v>
                </c:pt>
                <c:pt idx="6">
                  <c:v>30.277777777777779</c:v>
                </c:pt>
                <c:pt idx="7">
                  <c:v>35.157894736842103</c:v>
                </c:pt>
                <c:pt idx="8">
                  <c:v>37.94736842105263</c:v>
                </c:pt>
                <c:pt idx="9">
                  <c:v>33.92307692307692</c:v>
                </c:pt>
                <c:pt idx="10">
                  <c:v>33.200000000000003</c:v>
                </c:pt>
                <c:pt idx="11">
                  <c:v>40.159999999999997</c:v>
                </c:pt>
                <c:pt idx="12">
                  <c:v>41.578947368421055</c:v>
                </c:pt>
                <c:pt idx="13">
                  <c:v>36.866666666666667</c:v>
                </c:pt>
                <c:pt idx="14">
                  <c:v>33.714285714285715</c:v>
                </c:pt>
                <c:pt idx="15">
                  <c:v>33.700000000000003</c:v>
                </c:pt>
                <c:pt idx="16">
                  <c:v>34.642857142857146</c:v>
                </c:pt>
                <c:pt idx="17">
                  <c:v>36.5</c:v>
                </c:pt>
                <c:pt idx="18">
                  <c:v>33.058823529411768</c:v>
                </c:pt>
                <c:pt idx="19">
                  <c:v>33.5625</c:v>
                </c:pt>
                <c:pt idx="20">
                  <c:v>31.555555555555557</c:v>
                </c:pt>
                <c:pt idx="21">
                  <c:v>38.375</c:v>
                </c:pt>
                <c:pt idx="22">
                  <c:v>35.411764705882355</c:v>
                </c:pt>
                <c:pt idx="23">
                  <c:v>34.909090909090907</c:v>
                </c:pt>
                <c:pt idx="24">
                  <c:v>35.133333333333333</c:v>
                </c:pt>
                <c:pt idx="25">
                  <c:v>35.07692307692308</c:v>
                </c:pt>
                <c:pt idx="26">
                  <c:v>35.352941176470587</c:v>
                </c:pt>
                <c:pt idx="27">
                  <c:v>36.6</c:v>
                </c:pt>
                <c:pt idx="28">
                  <c:v>35.799999999999997</c:v>
                </c:pt>
                <c:pt idx="29">
                  <c:v>30.307692307692307</c:v>
                </c:pt>
                <c:pt idx="30">
                  <c:v>42.75</c:v>
                </c:pt>
              </c:numCache>
            </c:numRef>
          </c:val>
          <c:extLst>
            <c:ext xmlns:c16="http://schemas.microsoft.com/office/drawing/2014/chart" uri="{C3380CC4-5D6E-409C-BE32-E72D297353CC}">
              <c16:uniqueId val="{00000001-3CD3-45C7-980A-D20B0FB80F9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56387183"/>
        <c:axId val="256393007"/>
      </c:areaChart>
      <c:catAx>
        <c:axId val="25638718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56393007"/>
        <c:crosses val="autoZero"/>
        <c:auto val="1"/>
        <c:lblAlgn val="ctr"/>
        <c:lblOffset val="100"/>
        <c:noMultiLvlLbl val="0"/>
      </c:catAx>
      <c:valAx>
        <c:axId val="256393007"/>
        <c:scaling>
          <c:orientation val="minMax"/>
        </c:scaling>
        <c:delete val="1"/>
        <c:axPos val="l"/>
        <c:numFmt formatCode="0.00" sourceLinked="1"/>
        <c:majorTickMark val="out"/>
        <c:minorTickMark val="none"/>
        <c:tickLblPos val="nextTo"/>
        <c:crossAx val="2563871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7030A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015860868951557E-2"/>
          <c:y val="0.1128749676428796"/>
          <c:w val="0.878632301450605"/>
          <c:h val="0.55462492959201704"/>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Report'!$E$5:$E$36</c:f>
              <c:numCache>
                <c:formatCode>General</c:formatCode>
                <c:ptCount val="31"/>
                <c:pt idx="0">
                  <c:v>17</c:v>
                </c:pt>
                <c:pt idx="1">
                  <c:v>19</c:v>
                </c:pt>
                <c:pt idx="2">
                  <c:v>12</c:v>
                </c:pt>
                <c:pt idx="3">
                  <c:v>9</c:v>
                </c:pt>
                <c:pt idx="4">
                  <c:v>15</c:v>
                </c:pt>
                <c:pt idx="5">
                  <c:v>10</c:v>
                </c:pt>
                <c:pt idx="6">
                  <c:v>18</c:v>
                </c:pt>
                <c:pt idx="7">
                  <c:v>19</c:v>
                </c:pt>
                <c:pt idx="8">
                  <c:v>19</c:v>
                </c:pt>
                <c:pt idx="9">
                  <c:v>13</c:v>
                </c:pt>
                <c:pt idx="10">
                  <c:v>15</c:v>
                </c:pt>
                <c:pt idx="11">
                  <c:v>25</c:v>
                </c:pt>
                <c:pt idx="12">
                  <c:v>19</c:v>
                </c:pt>
                <c:pt idx="13">
                  <c:v>15</c:v>
                </c:pt>
                <c:pt idx="14">
                  <c:v>14</c:v>
                </c:pt>
                <c:pt idx="15">
                  <c:v>20</c:v>
                </c:pt>
                <c:pt idx="16">
                  <c:v>14</c:v>
                </c:pt>
                <c:pt idx="17">
                  <c:v>14</c:v>
                </c:pt>
                <c:pt idx="18">
                  <c:v>17</c:v>
                </c:pt>
                <c:pt idx="19">
                  <c:v>16</c:v>
                </c:pt>
                <c:pt idx="20">
                  <c:v>18</c:v>
                </c:pt>
                <c:pt idx="21">
                  <c:v>8</c:v>
                </c:pt>
                <c:pt idx="22">
                  <c:v>17</c:v>
                </c:pt>
                <c:pt idx="23">
                  <c:v>11</c:v>
                </c:pt>
                <c:pt idx="24">
                  <c:v>15</c:v>
                </c:pt>
                <c:pt idx="25">
                  <c:v>13</c:v>
                </c:pt>
                <c:pt idx="26">
                  <c:v>17</c:v>
                </c:pt>
                <c:pt idx="27">
                  <c:v>20</c:v>
                </c:pt>
                <c:pt idx="28">
                  <c:v>20</c:v>
                </c:pt>
                <c:pt idx="29">
                  <c:v>13</c:v>
                </c:pt>
                <c:pt idx="30">
                  <c:v>16</c:v>
                </c:pt>
              </c:numCache>
            </c:numRef>
          </c:val>
          <c:extLst>
            <c:ext xmlns:c16="http://schemas.microsoft.com/office/drawing/2014/chart" uri="{C3380CC4-5D6E-409C-BE32-E72D297353CC}">
              <c16:uniqueId val="{00000001-A7B7-42E1-A36C-9931B806EC6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13910415"/>
        <c:axId val="413900015"/>
      </c:areaChart>
      <c:catAx>
        <c:axId val="41391041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13900015"/>
        <c:crosses val="autoZero"/>
        <c:auto val="1"/>
        <c:lblAlgn val="ctr"/>
        <c:lblOffset val="100"/>
        <c:noMultiLvlLbl val="0"/>
      </c:catAx>
      <c:valAx>
        <c:axId val="413900015"/>
        <c:scaling>
          <c:orientation val="minMax"/>
        </c:scaling>
        <c:delete val="1"/>
        <c:axPos val="l"/>
        <c:numFmt formatCode="General" sourceLinked="1"/>
        <c:majorTickMark val="out"/>
        <c:minorTickMark val="none"/>
        <c:tickLblPos val="nextTo"/>
        <c:crossAx val="4139104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7030A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Report'!$J$5:$J$36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Report'!$K$5:$K$36</c:f>
              <c:numCache>
                <c:formatCode>0.00</c:formatCode>
                <c:ptCount val="31"/>
                <c:pt idx="0">
                  <c:v>4.125</c:v>
                </c:pt>
                <c:pt idx="1">
                  <c:v>5.333333333333333</c:v>
                </c:pt>
                <c:pt idx="2">
                  <c:v>4.75</c:v>
                </c:pt>
                <c:pt idx="3">
                  <c:v>2</c:v>
                </c:pt>
                <c:pt idx="4">
                  <c:v>8</c:v>
                </c:pt>
                <c:pt idx="5">
                  <c:v>3.5</c:v>
                </c:pt>
                <c:pt idx="6">
                  <c:v>7</c:v>
                </c:pt>
                <c:pt idx="7">
                  <c:v>3.5</c:v>
                </c:pt>
                <c:pt idx="8">
                  <c:v>6.4</c:v>
                </c:pt>
                <c:pt idx="9">
                  <c:v>3.5</c:v>
                </c:pt>
                <c:pt idx="10">
                  <c:v>6.5</c:v>
                </c:pt>
                <c:pt idx="11">
                  <c:v>5.2857142857142856</c:v>
                </c:pt>
                <c:pt idx="12">
                  <c:v>4.333333333333333</c:v>
                </c:pt>
                <c:pt idx="13">
                  <c:v>3</c:v>
                </c:pt>
                <c:pt idx="14">
                  <c:v>4.333333333333333</c:v>
                </c:pt>
                <c:pt idx="15">
                  <c:v>3.3333333333333335</c:v>
                </c:pt>
                <c:pt idx="16">
                  <c:v>2.5714285714285716</c:v>
                </c:pt>
                <c:pt idx="17">
                  <c:v>3.75</c:v>
                </c:pt>
                <c:pt idx="18">
                  <c:v>8.3333333333333339</c:v>
                </c:pt>
                <c:pt idx="19">
                  <c:v>3.75</c:v>
                </c:pt>
                <c:pt idx="20">
                  <c:v>4.666666666666667</c:v>
                </c:pt>
                <c:pt idx="21">
                  <c:v>5</c:v>
                </c:pt>
                <c:pt idx="22">
                  <c:v>4.333333333333333</c:v>
                </c:pt>
                <c:pt idx="23">
                  <c:v>4.666666666666667</c:v>
                </c:pt>
                <c:pt idx="24">
                  <c:v>4.5</c:v>
                </c:pt>
                <c:pt idx="25">
                  <c:v>6</c:v>
                </c:pt>
                <c:pt idx="26">
                  <c:v>6.8888888888888893</c:v>
                </c:pt>
                <c:pt idx="27">
                  <c:v>6.5714285714285712</c:v>
                </c:pt>
                <c:pt idx="28">
                  <c:v>4.0999999999999996</c:v>
                </c:pt>
                <c:pt idx="29">
                  <c:v>5</c:v>
                </c:pt>
                <c:pt idx="30">
                  <c:v>5.4</c:v>
                </c:pt>
              </c:numCache>
            </c:numRef>
          </c:val>
          <c:extLst>
            <c:ext xmlns:c16="http://schemas.microsoft.com/office/drawing/2014/chart" uri="{C3380CC4-5D6E-409C-BE32-E72D297353CC}">
              <c16:uniqueId val="{00000001-8305-4CE3-81F7-392514FF083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971226591"/>
        <c:axId val="971227423"/>
      </c:areaChart>
      <c:catAx>
        <c:axId val="97122659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71227423"/>
        <c:crosses val="autoZero"/>
        <c:auto val="1"/>
        <c:lblAlgn val="ctr"/>
        <c:lblOffset val="100"/>
        <c:noMultiLvlLbl val="0"/>
      </c:catAx>
      <c:valAx>
        <c:axId val="971227423"/>
        <c:scaling>
          <c:orientation val="minMax"/>
        </c:scaling>
        <c:delete val="1"/>
        <c:axPos val="l"/>
        <c:numFmt formatCode="0.00" sourceLinked="1"/>
        <c:majorTickMark val="out"/>
        <c:minorTickMark val="none"/>
        <c:tickLblPos val="nextTo"/>
        <c:crossAx val="97122659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7030A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6.xml"/><Relationship Id="rId3" Type="http://schemas.openxmlformats.org/officeDocument/2006/relationships/hyperlink" Target="#'satisfaction score daily trend'!A1"/><Relationship Id="rId7" Type="http://schemas.openxmlformats.org/officeDocument/2006/relationships/hyperlink" Target="#'daily ER no of patient'!A1"/><Relationship Id="rId12" Type="http://schemas.openxmlformats.org/officeDocument/2006/relationships/chart" Target="../charts/chart5.xml"/><Relationship Id="rId2" Type="http://schemas.openxmlformats.org/officeDocument/2006/relationships/hyperlink" Target="#'average waitime daily trend'!A1"/><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image" Target="../media/image5.emf"/><Relationship Id="rId5" Type="http://schemas.openxmlformats.org/officeDocument/2006/relationships/image" Target="../media/image3.png"/><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2.png"/><Relationship Id="rId9" Type="http://schemas.openxmlformats.org/officeDocument/2006/relationships/chart" Target="../charts/chart3.xml"/><Relationship Id="rId1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542925</xdr:colOff>
      <xdr:row>42</xdr:row>
      <xdr:rowOff>66674</xdr:rowOff>
    </xdr:from>
    <xdr:to>
      <xdr:col>4</xdr:col>
      <xdr:colOff>9524</xdr:colOff>
      <xdr:row>45</xdr:row>
      <xdr:rowOff>38099</xdr:rowOff>
    </xdr:to>
    <xdr:graphicFrame macro="">
      <xdr:nvGraphicFramePr>
        <xdr:cNvPr id="5" name="Chart 4">
          <a:extLst>
            <a:ext uri="{FF2B5EF4-FFF2-40B4-BE49-F238E27FC236}">
              <a16:creationId xmlns:a16="http://schemas.microsoft.com/office/drawing/2014/main" id="{BF08459A-3520-48FE-96B4-B58E76C51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57150</xdr:colOff>
      <xdr:row>0</xdr:row>
      <xdr:rowOff>66675</xdr:rowOff>
    </xdr:from>
    <xdr:to>
      <xdr:col>6</xdr:col>
      <xdr:colOff>133350</xdr:colOff>
      <xdr:row>2</xdr:row>
      <xdr:rowOff>171450</xdr:rowOff>
    </xdr:to>
    <xdr:sp macro="" textlink="">
      <xdr:nvSpPr>
        <xdr:cNvPr id="2" name="Rectangle: Rounded Corners 1">
          <a:extLst>
            <a:ext uri="{FF2B5EF4-FFF2-40B4-BE49-F238E27FC236}">
              <a16:creationId xmlns:a16="http://schemas.microsoft.com/office/drawing/2014/main" id="{7DDA4F07-F08E-4833-BEB2-5D48528BF12E}"/>
            </a:ext>
          </a:extLst>
        </xdr:cNvPr>
        <xdr:cNvSpPr/>
      </xdr:nvSpPr>
      <xdr:spPr>
        <a:xfrm>
          <a:off x="57150" y="66675"/>
          <a:ext cx="3733800" cy="485775"/>
        </a:xfrm>
        <a:prstGeom prst="roundRect">
          <a:avLst/>
        </a:prstGeom>
        <a:solidFill>
          <a:srgbClr val="A66BD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238125</xdr:colOff>
      <xdr:row>0</xdr:row>
      <xdr:rowOff>57151</xdr:rowOff>
    </xdr:from>
    <xdr:to>
      <xdr:col>8</xdr:col>
      <xdr:colOff>304800</xdr:colOff>
      <xdr:row>2</xdr:row>
      <xdr:rowOff>180975</xdr:rowOff>
    </xdr:to>
    <xdr:sp macro="" textlink="">
      <xdr:nvSpPr>
        <xdr:cNvPr id="10" name="Rectangle: Rounded Corners 9">
          <a:extLst>
            <a:ext uri="{FF2B5EF4-FFF2-40B4-BE49-F238E27FC236}">
              <a16:creationId xmlns:a16="http://schemas.microsoft.com/office/drawing/2014/main" id="{ECD235BF-426C-4B34-B535-B3717C9C80B3}"/>
            </a:ext>
          </a:extLst>
        </xdr:cNvPr>
        <xdr:cNvSpPr/>
      </xdr:nvSpPr>
      <xdr:spPr>
        <a:xfrm>
          <a:off x="3895725" y="57151"/>
          <a:ext cx="1285875" cy="504824"/>
        </a:xfrm>
        <a:prstGeom prst="roundRect">
          <a:avLst/>
        </a:prstGeom>
        <a:solidFill>
          <a:srgbClr val="A66BD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428625</xdr:colOff>
      <xdr:row>0</xdr:row>
      <xdr:rowOff>47624</xdr:rowOff>
    </xdr:from>
    <xdr:to>
      <xdr:col>10</xdr:col>
      <xdr:colOff>495300</xdr:colOff>
      <xdr:row>8</xdr:row>
      <xdr:rowOff>38099</xdr:rowOff>
    </xdr:to>
    <xdr:sp macro="" textlink="">
      <xdr:nvSpPr>
        <xdr:cNvPr id="11" name="Rectangle: Rounded Corners 10">
          <a:extLst>
            <a:ext uri="{FF2B5EF4-FFF2-40B4-BE49-F238E27FC236}">
              <a16:creationId xmlns:a16="http://schemas.microsoft.com/office/drawing/2014/main" id="{B5E6BC22-5E9C-4326-B7B1-9B77073B1ED0}"/>
            </a:ext>
          </a:extLst>
        </xdr:cNvPr>
        <xdr:cNvSpPr/>
      </xdr:nvSpPr>
      <xdr:spPr>
        <a:xfrm>
          <a:off x="5293702" y="47624"/>
          <a:ext cx="1282944" cy="1514475"/>
        </a:xfrm>
        <a:prstGeom prst="roundRect">
          <a:avLst/>
        </a:prstGeom>
        <a:solidFill>
          <a:srgbClr val="A66BD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533400</xdr:colOff>
      <xdr:row>0</xdr:row>
      <xdr:rowOff>38100</xdr:rowOff>
    </xdr:from>
    <xdr:to>
      <xdr:col>12</xdr:col>
      <xdr:colOff>600075</xdr:colOff>
      <xdr:row>8</xdr:row>
      <xdr:rowOff>38100</xdr:rowOff>
    </xdr:to>
    <xdr:sp macro="" textlink="">
      <xdr:nvSpPr>
        <xdr:cNvPr id="12" name="Rectangle: Rounded Corners 11">
          <a:extLst>
            <a:ext uri="{FF2B5EF4-FFF2-40B4-BE49-F238E27FC236}">
              <a16:creationId xmlns:a16="http://schemas.microsoft.com/office/drawing/2014/main" id="{8D780124-757A-4C13-95D4-CB5765C53E02}"/>
            </a:ext>
          </a:extLst>
        </xdr:cNvPr>
        <xdr:cNvSpPr/>
      </xdr:nvSpPr>
      <xdr:spPr>
        <a:xfrm>
          <a:off x="6614746" y="38100"/>
          <a:ext cx="1282944" cy="1524000"/>
        </a:xfrm>
        <a:prstGeom prst="roundRect">
          <a:avLst/>
        </a:prstGeom>
        <a:solidFill>
          <a:srgbClr val="A66BD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47626</xdr:colOff>
      <xdr:row>3</xdr:row>
      <xdr:rowOff>9525</xdr:rowOff>
    </xdr:from>
    <xdr:to>
      <xdr:col>1</xdr:col>
      <xdr:colOff>447676</xdr:colOff>
      <xdr:row>21</xdr:row>
      <xdr:rowOff>180975</xdr:rowOff>
    </xdr:to>
    <xdr:sp macro="" textlink="">
      <xdr:nvSpPr>
        <xdr:cNvPr id="13" name="Rectangle: Rounded Corners 12">
          <a:extLst>
            <a:ext uri="{FF2B5EF4-FFF2-40B4-BE49-F238E27FC236}">
              <a16:creationId xmlns:a16="http://schemas.microsoft.com/office/drawing/2014/main" id="{39609A20-6A69-4178-9779-9090494F7176}"/>
            </a:ext>
          </a:extLst>
        </xdr:cNvPr>
        <xdr:cNvSpPr/>
      </xdr:nvSpPr>
      <xdr:spPr>
        <a:xfrm>
          <a:off x="47626" y="591608"/>
          <a:ext cx="1008592" cy="3663950"/>
        </a:xfrm>
        <a:prstGeom prst="roundRect">
          <a:avLst/>
        </a:prstGeom>
        <a:solidFill>
          <a:srgbClr val="A66BD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556341</xdr:colOff>
      <xdr:row>3</xdr:row>
      <xdr:rowOff>51515</xdr:rowOff>
    </xdr:from>
    <xdr:to>
      <xdr:col>8</xdr:col>
      <xdr:colOff>327741</xdr:colOff>
      <xdr:row>7</xdr:row>
      <xdr:rowOff>127715</xdr:rowOff>
    </xdr:to>
    <xdr:grpSp>
      <xdr:nvGrpSpPr>
        <xdr:cNvPr id="19" name="Group 18">
          <a:extLst>
            <a:ext uri="{FF2B5EF4-FFF2-40B4-BE49-F238E27FC236}">
              <a16:creationId xmlns:a16="http://schemas.microsoft.com/office/drawing/2014/main" id="{67B8BF50-83D9-47BE-A19B-B6D5ABF02FDB}"/>
            </a:ext>
          </a:extLst>
        </xdr:cNvPr>
        <xdr:cNvGrpSpPr/>
      </xdr:nvGrpSpPr>
      <xdr:grpSpPr>
        <a:xfrm>
          <a:off x="1162477" y="623015"/>
          <a:ext cx="4014355" cy="838200"/>
          <a:chOff x="1152525" y="600075"/>
          <a:chExt cx="2609850" cy="838200"/>
        </a:xfrm>
      </xdr:grpSpPr>
      <xdr:sp macro="" textlink="">
        <xdr:nvSpPr>
          <xdr:cNvPr id="14" name="Rectangle: Rounded Corners 13">
            <a:extLst>
              <a:ext uri="{FF2B5EF4-FFF2-40B4-BE49-F238E27FC236}">
                <a16:creationId xmlns:a16="http://schemas.microsoft.com/office/drawing/2014/main" id="{806AC263-E74A-4663-9CD8-040D72DB2505}"/>
              </a:ext>
            </a:extLst>
          </xdr:cNvPr>
          <xdr:cNvSpPr/>
        </xdr:nvSpPr>
        <xdr:spPr>
          <a:xfrm>
            <a:off x="1152525" y="600075"/>
            <a:ext cx="790575" cy="828675"/>
          </a:xfrm>
          <a:prstGeom prst="roundRect">
            <a:avLst/>
          </a:prstGeom>
          <a:solidFill>
            <a:srgbClr val="A66BD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Rectangle: Rounded Corners 14">
            <a:extLst>
              <a:ext uri="{FF2B5EF4-FFF2-40B4-BE49-F238E27FC236}">
                <a16:creationId xmlns:a16="http://schemas.microsoft.com/office/drawing/2014/main" id="{4E115346-DDA4-4B64-828B-FCF44055AD0E}"/>
              </a:ext>
            </a:extLst>
          </xdr:cNvPr>
          <xdr:cNvSpPr/>
        </xdr:nvSpPr>
        <xdr:spPr>
          <a:xfrm>
            <a:off x="2028825" y="600075"/>
            <a:ext cx="809625" cy="828675"/>
          </a:xfrm>
          <a:prstGeom prst="roundRect">
            <a:avLst/>
          </a:prstGeom>
          <a:solidFill>
            <a:srgbClr val="A66BD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Rectangle: Rounded Corners 15">
            <a:extLst>
              <a:ext uri="{FF2B5EF4-FFF2-40B4-BE49-F238E27FC236}">
                <a16:creationId xmlns:a16="http://schemas.microsoft.com/office/drawing/2014/main" id="{5111413F-D848-474A-BC2E-7B52F678DB8F}"/>
              </a:ext>
            </a:extLst>
          </xdr:cNvPr>
          <xdr:cNvSpPr/>
        </xdr:nvSpPr>
        <xdr:spPr>
          <a:xfrm>
            <a:off x="2914650" y="609600"/>
            <a:ext cx="847725" cy="828675"/>
          </a:xfrm>
          <a:prstGeom prst="roundRect">
            <a:avLst/>
          </a:prstGeom>
          <a:solidFill>
            <a:srgbClr val="A66BD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1</xdr:col>
      <xdr:colOff>542926</xdr:colOff>
      <xdr:row>11</xdr:row>
      <xdr:rowOff>47625</xdr:rowOff>
    </xdr:from>
    <xdr:to>
      <xdr:col>8</xdr:col>
      <xdr:colOff>342900</xdr:colOff>
      <xdr:row>21</xdr:row>
      <xdr:rowOff>180976</xdr:rowOff>
    </xdr:to>
    <xdr:sp macro="" textlink="">
      <xdr:nvSpPr>
        <xdr:cNvPr id="20" name="Rectangle: Rounded Corners 19">
          <a:extLst>
            <a:ext uri="{FF2B5EF4-FFF2-40B4-BE49-F238E27FC236}">
              <a16:creationId xmlns:a16="http://schemas.microsoft.com/office/drawing/2014/main" id="{6A6C0A27-2AF6-4D3E-B18B-9FAAF5C11DA8}"/>
            </a:ext>
          </a:extLst>
        </xdr:cNvPr>
        <xdr:cNvSpPr/>
      </xdr:nvSpPr>
      <xdr:spPr>
        <a:xfrm>
          <a:off x="1153331" y="2113611"/>
          <a:ext cx="4072808" cy="2011520"/>
        </a:xfrm>
        <a:prstGeom prst="roundRect">
          <a:avLst/>
        </a:prstGeom>
        <a:solidFill>
          <a:srgbClr val="A66BD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447677</xdr:colOff>
      <xdr:row>8</xdr:row>
      <xdr:rowOff>60614</xdr:rowOff>
    </xdr:from>
    <xdr:to>
      <xdr:col>12</xdr:col>
      <xdr:colOff>580160</xdr:colOff>
      <xdr:row>22</xdr:row>
      <xdr:rowOff>0</xdr:rowOff>
    </xdr:to>
    <xdr:sp macro="" textlink="">
      <xdr:nvSpPr>
        <xdr:cNvPr id="31" name="Rectangle: Rounded Corners 30">
          <a:extLst>
            <a:ext uri="{FF2B5EF4-FFF2-40B4-BE49-F238E27FC236}">
              <a16:creationId xmlns:a16="http://schemas.microsoft.com/office/drawing/2014/main" id="{2E168066-A4BB-4178-8509-29E19C1AFDA6}"/>
            </a:ext>
          </a:extLst>
        </xdr:cNvPr>
        <xdr:cNvSpPr/>
      </xdr:nvSpPr>
      <xdr:spPr>
        <a:xfrm>
          <a:off x="5296768" y="1584614"/>
          <a:ext cx="2557028" cy="2606386"/>
        </a:xfrm>
        <a:prstGeom prst="roundRect">
          <a:avLst/>
        </a:prstGeom>
        <a:solidFill>
          <a:srgbClr val="A66BD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228063</xdr:colOff>
      <xdr:row>0</xdr:row>
      <xdr:rowOff>95249</xdr:rowOff>
    </xdr:from>
    <xdr:to>
      <xdr:col>5</xdr:col>
      <xdr:colOff>476251</xdr:colOff>
      <xdr:row>1</xdr:row>
      <xdr:rowOff>114300</xdr:rowOff>
    </xdr:to>
    <xdr:sp macro="" textlink="">
      <xdr:nvSpPr>
        <xdr:cNvPr id="33" name="TextBox 32">
          <a:extLst>
            <a:ext uri="{FF2B5EF4-FFF2-40B4-BE49-F238E27FC236}">
              <a16:creationId xmlns:a16="http://schemas.microsoft.com/office/drawing/2014/main" id="{0716C0C5-0777-438B-B658-9DDC92FC0FBA}"/>
            </a:ext>
          </a:extLst>
        </xdr:cNvPr>
        <xdr:cNvSpPr txBox="1"/>
      </xdr:nvSpPr>
      <xdr:spPr>
        <a:xfrm>
          <a:off x="838468" y="95249"/>
          <a:ext cx="2689808" cy="206868"/>
        </a:xfrm>
        <a:prstGeom prst="rect">
          <a:avLst/>
        </a:prstGeom>
        <a:solidFill>
          <a:srgbClr val="7030A0"/>
        </a:solidFill>
        <a:ln w="9525" cmpd="sng">
          <a:solidFill>
            <a:srgbClr val="A66BD3"/>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50" b="1">
              <a:solidFill>
                <a:schemeClr val="bg1"/>
              </a:solidFill>
            </a:rPr>
            <a:t>Hospital</a:t>
          </a:r>
          <a:r>
            <a:rPr lang="en-US" sz="1250" b="1" baseline="0">
              <a:solidFill>
                <a:schemeClr val="bg1"/>
              </a:solidFill>
            </a:rPr>
            <a:t> Emergency Room </a:t>
          </a:r>
          <a:r>
            <a:rPr lang="en-US" sz="1250" b="1" baseline="0">
              <a:ln>
                <a:noFill/>
              </a:ln>
              <a:solidFill>
                <a:schemeClr val="bg1"/>
              </a:solidFill>
            </a:rPr>
            <a:t>Dashboard</a:t>
          </a:r>
          <a:endParaRPr lang="en-US" sz="1250" b="1">
            <a:ln>
              <a:noFill/>
            </a:ln>
            <a:solidFill>
              <a:schemeClr val="bg1"/>
            </a:solidFill>
          </a:endParaRPr>
        </a:p>
      </xdr:txBody>
    </xdr:sp>
    <xdr:clientData/>
  </xdr:twoCellAnchor>
  <xdr:twoCellAnchor editAs="oneCell">
    <xdr:from>
      <xdr:col>0</xdr:col>
      <xdr:colOff>38101</xdr:colOff>
      <xdr:row>0</xdr:row>
      <xdr:rowOff>85725</xdr:rowOff>
    </xdr:from>
    <xdr:to>
      <xdr:col>1</xdr:col>
      <xdr:colOff>285751</xdr:colOff>
      <xdr:row>2</xdr:row>
      <xdr:rowOff>171450</xdr:rowOff>
    </xdr:to>
    <xdr:pic>
      <xdr:nvPicPr>
        <xdr:cNvPr id="37" name="Picture 36">
          <a:extLst>
            <a:ext uri="{FF2B5EF4-FFF2-40B4-BE49-F238E27FC236}">
              <a16:creationId xmlns:a16="http://schemas.microsoft.com/office/drawing/2014/main" id="{349A2AC3-2693-4974-9FDD-323C9F0510F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676" t="12903" r="9859" b="11290"/>
        <a:stretch/>
      </xdr:blipFill>
      <xdr:spPr>
        <a:xfrm>
          <a:off x="38101" y="85725"/>
          <a:ext cx="856192" cy="473781"/>
        </a:xfrm>
        <a:prstGeom prst="rect">
          <a:avLst/>
        </a:prstGeom>
      </xdr:spPr>
    </xdr:pic>
    <xdr:clientData/>
  </xdr:twoCellAnchor>
  <xdr:twoCellAnchor editAs="absolute">
    <xdr:from>
      <xdr:col>2</xdr:col>
      <xdr:colOff>362218</xdr:colOff>
      <xdr:row>1</xdr:row>
      <xdr:rowOff>114299</xdr:rowOff>
    </xdr:from>
    <xdr:to>
      <xdr:col>4</xdr:col>
      <xdr:colOff>308556</xdr:colOff>
      <xdr:row>2</xdr:row>
      <xdr:rowOff>133350</xdr:rowOff>
    </xdr:to>
    <xdr:sp macro="" textlink="">
      <xdr:nvSpPr>
        <xdr:cNvPr id="38" name="TextBox 37">
          <a:extLst>
            <a:ext uri="{FF2B5EF4-FFF2-40B4-BE49-F238E27FC236}">
              <a16:creationId xmlns:a16="http://schemas.microsoft.com/office/drawing/2014/main" id="{1D21D327-0BFE-45D6-9C99-D7DC94765094}"/>
            </a:ext>
          </a:extLst>
        </xdr:cNvPr>
        <xdr:cNvSpPr txBox="1"/>
      </xdr:nvSpPr>
      <xdr:spPr>
        <a:xfrm>
          <a:off x="1583028" y="302116"/>
          <a:ext cx="1167148" cy="206868"/>
        </a:xfrm>
        <a:prstGeom prst="rect">
          <a:avLst/>
        </a:prstGeom>
        <a:solidFill>
          <a:srgbClr val="7030A0"/>
        </a:solidFill>
        <a:ln w="9525" cmpd="sng">
          <a:solidFill>
            <a:srgbClr val="A66BD3"/>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400" b="1" baseline="0">
              <a:ln>
                <a:noFill/>
              </a:ln>
              <a:solidFill>
                <a:schemeClr val="bg1"/>
              </a:solidFill>
            </a:rPr>
            <a:t> </a:t>
          </a:r>
          <a:r>
            <a:rPr lang="en-US" sz="1050" b="1" baseline="0">
              <a:ln>
                <a:noFill/>
              </a:ln>
              <a:solidFill>
                <a:schemeClr val="bg1"/>
              </a:solidFill>
            </a:rPr>
            <a:t>Monthly Report</a:t>
          </a:r>
          <a:endParaRPr lang="en-US" sz="1400" b="1">
            <a:ln>
              <a:noFill/>
            </a:ln>
            <a:solidFill>
              <a:schemeClr val="bg1"/>
            </a:solidFill>
          </a:endParaRPr>
        </a:p>
      </xdr:txBody>
    </xdr:sp>
    <xdr:clientData/>
  </xdr:twoCellAnchor>
  <xdr:twoCellAnchor editAs="absolute">
    <xdr:from>
      <xdr:col>2</xdr:col>
      <xdr:colOff>45182</xdr:colOff>
      <xdr:row>4</xdr:row>
      <xdr:rowOff>73722</xdr:rowOff>
    </xdr:from>
    <xdr:to>
      <xdr:col>3</xdr:col>
      <xdr:colOff>476250</xdr:colOff>
      <xdr:row>5</xdr:row>
      <xdr:rowOff>142875</xdr:rowOff>
    </xdr:to>
    <xdr:sp macro="" textlink="">
      <xdr:nvSpPr>
        <xdr:cNvPr id="39" name="TextBox 38">
          <a:extLst>
            <a:ext uri="{FF2B5EF4-FFF2-40B4-BE49-F238E27FC236}">
              <a16:creationId xmlns:a16="http://schemas.microsoft.com/office/drawing/2014/main" id="{E3B7D99E-D6F9-46D1-A58C-ABD73D64194B}"/>
            </a:ext>
          </a:extLst>
        </xdr:cNvPr>
        <xdr:cNvSpPr txBox="1"/>
      </xdr:nvSpPr>
      <xdr:spPr>
        <a:xfrm>
          <a:off x="1269825" y="835722"/>
          <a:ext cx="1043389" cy="259653"/>
        </a:xfrm>
        <a:prstGeom prst="rect">
          <a:avLst/>
        </a:prstGeom>
        <a:solidFill>
          <a:srgbClr val="7030A0"/>
        </a:solidFill>
        <a:ln w="9525" cmpd="sng">
          <a:solidFill>
            <a:srgbClr val="A66BD3"/>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a:ln>
                <a:noFill/>
              </a:ln>
              <a:solidFill>
                <a:schemeClr val="bg1"/>
              </a:solidFill>
            </a:rPr>
            <a:t>No.</a:t>
          </a:r>
          <a:r>
            <a:rPr lang="en-US" sz="1200" b="0" baseline="0">
              <a:ln>
                <a:noFill/>
              </a:ln>
              <a:solidFill>
                <a:schemeClr val="bg1"/>
              </a:solidFill>
            </a:rPr>
            <a:t> of Patients</a:t>
          </a:r>
          <a:endParaRPr lang="en-US" sz="1200" b="0">
            <a:ln>
              <a:noFill/>
            </a:ln>
            <a:solidFill>
              <a:schemeClr val="bg1"/>
            </a:solidFill>
          </a:endParaRPr>
        </a:p>
      </xdr:txBody>
    </xdr:sp>
    <xdr:clientData/>
  </xdr:twoCellAnchor>
  <xdr:twoCellAnchor editAs="absolute">
    <xdr:from>
      <xdr:col>2</xdr:col>
      <xdr:colOff>194523</xdr:colOff>
      <xdr:row>3</xdr:row>
      <xdr:rowOff>87200</xdr:rowOff>
    </xdr:from>
    <xdr:to>
      <xdr:col>3</xdr:col>
      <xdr:colOff>234771</xdr:colOff>
      <xdr:row>4</xdr:row>
      <xdr:rowOff>92046</xdr:rowOff>
    </xdr:to>
    <xdr:sp macro="" textlink="'Pivot Report'!A5">
      <xdr:nvSpPr>
        <xdr:cNvPr id="45" name="TextBox 44">
          <a:extLst>
            <a:ext uri="{FF2B5EF4-FFF2-40B4-BE49-F238E27FC236}">
              <a16:creationId xmlns:a16="http://schemas.microsoft.com/office/drawing/2014/main" id="{CC2228EA-AE64-44DD-ADF7-D26D7C1921CB}"/>
            </a:ext>
          </a:extLst>
        </xdr:cNvPr>
        <xdr:cNvSpPr txBox="1"/>
      </xdr:nvSpPr>
      <xdr:spPr>
        <a:xfrm>
          <a:off x="1415333" y="650651"/>
          <a:ext cx="650653" cy="192663"/>
        </a:xfrm>
        <a:prstGeom prst="rect">
          <a:avLst/>
        </a:prstGeom>
        <a:gradFill>
          <a:gsLst>
            <a:gs pos="0">
              <a:srgbClr val="7030A0"/>
            </a:gs>
            <a:gs pos="50000">
              <a:schemeClr val="accent3">
                <a:satMod val="110000"/>
                <a:lumMod val="100000"/>
                <a:shade val="100000"/>
              </a:schemeClr>
            </a:gs>
            <a:gs pos="100000">
              <a:schemeClr val="accent3">
                <a:lumMod val="99000"/>
                <a:satMod val="120000"/>
                <a:shade val="78000"/>
              </a:schemeClr>
            </a:gs>
          </a:gsLst>
        </a:gradFill>
        <a:ln/>
        <a:effectLst/>
      </xdr:spPr>
      <xdr:style>
        <a:lnRef idx="0">
          <a:schemeClr val="accent3"/>
        </a:lnRef>
        <a:fillRef idx="3">
          <a:schemeClr val="accent3"/>
        </a:fillRef>
        <a:effectRef idx="3">
          <a:schemeClr val="accent3"/>
        </a:effectRef>
        <a:fontRef idx="minor">
          <a:schemeClr val="lt1"/>
        </a:fontRef>
      </xdr:style>
      <xdr:txBody>
        <a:bodyPr vertOverflow="clip" horzOverflow="clip" wrap="square" lIns="0" tIns="0" rIns="0" bIns="0" rtlCol="0" anchor="ctr"/>
        <a:lstStyle/>
        <a:p>
          <a:pPr algn="ctr"/>
          <a:fld id="{B19084A3-F053-4E76-BD7D-CB93EAE87361}" type="TxLink">
            <a:rPr lang="en-US" sz="1100" b="0" i="0" u="none" strike="noStrike">
              <a:ln>
                <a:noFill/>
              </a:ln>
              <a:solidFill>
                <a:schemeClr val="bg1"/>
              </a:solidFill>
              <a:latin typeface="Calibri"/>
              <a:cs typeface="Calibri"/>
            </a:rPr>
            <a:pPr algn="ctr"/>
            <a:t>488</a:t>
          </a:fld>
          <a:endParaRPr lang="en-US">
            <a:ln>
              <a:noFill/>
            </a:ln>
            <a:solidFill>
              <a:schemeClr val="bg1"/>
            </a:solidFill>
          </a:endParaRPr>
        </a:p>
      </xdr:txBody>
    </xdr:sp>
    <xdr:clientData/>
  </xdr:twoCellAnchor>
  <xdr:twoCellAnchor editAs="absolute">
    <xdr:from>
      <xdr:col>4</xdr:col>
      <xdr:colOff>117233</xdr:colOff>
      <xdr:row>4</xdr:row>
      <xdr:rowOff>72310</xdr:rowOff>
    </xdr:from>
    <xdr:to>
      <xdr:col>6</xdr:col>
      <xdr:colOff>97005</xdr:colOff>
      <xdr:row>5</xdr:row>
      <xdr:rowOff>127447</xdr:rowOff>
    </xdr:to>
    <xdr:sp macro="" textlink="">
      <xdr:nvSpPr>
        <xdr:cNvPr id="46" name="TextBox 45">
          <a:hlinkClick xmlns:r="http://schemas.openxmlformats.org/officeDocument/2006/relationships" r:id="rId2"/>
          <a:extLst>
            <a:ext uri="{FF2B5EF4-FFF2-40B4-BE49-F238E27FC236}">
              <a16:creationId xmlns:a16="http://schemas.microsoft.com/office/drawing/2014/main" id="{9B16B872-7AE8-450A-AB9C-C56F44E66898}"/>
            </a:ext>
          </a:extLst>
        </xdr:cNvPr>
        <xdr:cNvSpPr txBox="1"/>
      </xdr:nvSpPr>
      <xdr:spPr>
        <a:xfrm>
          <a:off x="2549771" y="834310"/>
          <a:ext cx="1196042" cy="245637"/>
        </a:xfrm>
        <a:prstGeom prst="rect">
          <a:avLst/>
        </a:prstGeom>
        <a:solidFill>
          <a:srgbClr val="7030A0"/>
        </a:solidFill>
        <a:ln w="9525" cmpd="sng">
          <a:solidFill>
            <a:srgbClr val="A66BD3"/>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a:ln>
                <a:noFill/>
              </a:ln>
              <a:solidFill>
                <a:schemeClr val="bg1"/>
              </a:solidFill>
            </a:rPr>
            <a:t>Average</a:t>
          </a:r>
          <a:r>
            <a:rPr lang="en-US" sz="1200" b="0" baseline="0">
              <a:ln>
                <a:noFill/>
              </a:ln>
              <a:solidFill>
                <a:schemeClr val="bg1"/>
              </a:solidFill>
            </a:rPr>
            <a:t> Wait Time</a:t>
          </a:r>
          <a:endParaRPr lang="en-US" sz="1200" b="0">
            <a:ln>
              <a:noFill/>
            </a:ln>
            <a:solidFill>
              <a:schemeClr val="bg1"/>
            </a:solidFill>
          </a:endParaRPr>
        </a:p>
      </xdr:txBody>
    </xdr:sp>
    <xdr:clientData/>
  </xdr:twoCellAnchor>
  <xdr:twoCellAnchor editAs="absolute">
    <xdr:from>
      <xdr:col>4</xdr:col>
      <xdr:colOff>301850</xdr:colOff>
      <xdr:row>3</xdr:row>
      <xdr:rowOff>80492</xdr:rowOff>
    </xdr:from>
    <xdr:to>
      <xdr:col>5</xdr:col>
      <xdr:colOff>415881</xdr:colOff>
      <xdr:row>4</xdr:row>
      <xdr:rowOff>84288</xdr:rowOff>
    </xdr:to>
    <xdr:sp macro="" textlink="'Pivot Report'!A9">
      <xdr:nvSpPr>
        <xdr:cNvPr id="47" name="TextBox 46">
          <a:extLst>
            <a:ext uri="{FF2B5EF4-FFF2-40B4-BE49-F238E27FC236}">
              <a16:creationId xmlns:a16="http://schemas.microsoft.com/office/drawing/2014/main" id="{69FE8231-E762-4A93-BAFB-C5D4F58768E9}"/>
            </a:ext>
          </a:extLst>
        </xdr:cNvPr>
        <xdr:cNvSpPr txBox="1"/>
      </xdr:nvSpPr>
      <xdr:spPr>
        <a:xfrm>
          <a:off x="2743470" y="643943"/>
          <a:ext cx="724436" cy="191613"/>
        </a:xfrm>
        <a:prstGeom prst="rect">
          <a:avLst/>
        </a:prstGeom>
        <a:gradFill>
          <a:gsLst>
            <a:gs pos="0">
              <a:srgbClr val="8B6BA3"/>
            </a:gs>
            <a:gs pos="0">
              <a:srgbClr val="7030A0"/>
            </a:gs>
            <a:gs pos="50000">
              <a:schemeClr val="accent3">
                <a:satMod val="110000"/>
                <a:lumMod val="100000"/>
                <a:shade val="100000"/>
              </a:schemeClr>
            </a:gs>
            <a:gs pos="100000">
              <a:schemeClr val="accent3">
                <a:lumMod val="99000"/>
                <a:satMod val="120000"/>
                <a:shade val="78000"/>
              </a:schemeClr>
            </a:gs>
          </a:gsLst>
          <a:lin ang="5400000" scaled="0"/>
        </a:gradFill>
        <a:ln>
          <a:headEnd type="none" w="med" len="med"/>
          <a:tailEnd type="none" w="med" len="med"/>
        </a:ln>
      </xdr:spPr>
      <xdr:style>
        <a:lnRef idx="0">
          <a:schemeClr val="accent3"/>
        </a:lnRef>
        <a:fillRef idx="3">
          <a:schemeClr val="accent3"/>
        </a:fillRef>
        <a:effectRef idx="3">
          <a:schemeClr val="accent3"/>
        </a:effectRef>
        <a:fontRef idx="minor">
          <a:schemeClr val="lt1"/>
        </a:fontRef>
      </xdr:style>
      <xdr:txBody>
        <a:bodyPr vertOverflow="clip" horzOverflow="clip" wrap="square" lIns="0" tIns="0" rIns="0" bIns="0" rtlCol="0" anchor="ctr"/>
        <a:lstStyle/>
        <a:p>
          <a:pPr algn="ctr"/>
          <a:fld id="{25FFF668-BB16-4D49-AFFB-A3ACD0FBBFFD}" type="TxLink">
            <a:rPr lang="en-US" sz="1100" b="0" i="0" u="none" strike="noStrike">
              <a:ln>
                <a:noFill/>
              </a:ln>
              <a:solidFill>
                <a:srgbClr val="FFFFFF"/>
              </a:solidFill>
              <a:latin typeface="Calibri"/>
              <a:cs typeface="Calibri"/>
            </a:rPr>
            <a:t>35.20</a:t>
          </a:fld>
          <a:endParaRPr lang="en-US">
            <a:ln>
              <a:noFill/>
            </a:ln>
            <a:solidFill>
              <a:schemeClr val="tx1"/>
            </a:solidFill>
          </a:endParaRPr>
        </a:p>
      </xdr:txBody>
    </xdr:sp>
    <xdr:clientData/>
  </xdr:twoCellAnchor>
  <xdr:twoCellAnchor editAs="absolute">
    <xdr:from>
      <xdr:col>6</xdr:col>
      <xdr:colOff>381722</xdr:colOff>
      <xdr:row>4</xdr:row>
      <xdr:rowOff>56199</xdr:rowOff>
    </xdr:from>
    <xdr:to>
      <xdr:col>8</xdr:col>
      <xdr:colOff>180491</xdr:colOff>
      <xdr:row>6</xdr:row>
      <xdr:rowOff>28689</xdr:rowOff>
    </xdr:to>
    <xdr:sp macro="" textlink="">
      <xdr:nvSpPr>
        <xdr:cNvPr id="48" name="TextBox 47">
          <a:hlinkClick xmlns:r="http://schemas.openxmlformats.org/officeDocument/2006/relationships" r:id="rId3"/>
          <a:extLst>
            <a:ext uri="{FF2B5EF4-FFF2-40B4-BE49-F238E27FC236}">
              <a16:creationId xmlns:a16="http://schemas.microsoft.com/office/drawing/2014/main" id="{17F9285E-1FE7-4EE0-8BCC-3C9C5177B12B}"/>
            </a:ext>
          </a:extLst>
        </xdr:cNvPr>
        <xdr:cNvSpPr txBox="1"/>
      </xdr:nvSpPr>
      <xdr:spPr>
        <a:xfrm>
          <a:off x="4030530" y="818199"/>
          <a:ext cx="1015038" cy="353490"/>
        </a:xfrm>
        <a:prstGeom prst="rect">
          <a:avLst/>
        </a:prstGeom>
        <a:solidFill>
          <a:srgbClr val="7030A0"/>
        </a:solidFill>
        <a:ln w="9525" cmpd="sng">
          <a:solidFill>
            <a:srgbClr val="A66BD3"/>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50" b="0">
              <a:ln>
                <a:noFill/>
              </a:ln>
              <a:solidFill>
                <a:schemeClr val="bg1"/>
              </a:solidFill>
            </a:rPr>
            <a:t>Patient</a:t>
          </a:r>
          <a:r>
            <a:rPr lang="en-US" sz="1050" b="0" baseline="0">
              <a:ln>
                <a:noFill/>
              </a:ln>
              <a:solidFill>
                <a:schemeClr val="bg1"/>
              </a:solidFill>
            </a:rPr>
            <a:t> Satisfaction Score</a:t>
          </a:r>
          <a:endParaRPr lang="en-US" sz="1050" b="0">
            <a:ln>
              <a:noFill/>
            </a:ln>
            <a:solidFill>
              <a:schemeClr val="bg1"/>
            </a:solidFill>
          </a:endParaRPr>
        </a:p>
      </xdr:txBody>
    </xdr:sp>
    <xdr:clientData/>
  </xdr:twoCellAnchor>
  <xdr:twoCellAnchor editAs="absolute">
    <xdr:from>
      <xdr:col>6</xdr:col>
      <xdr:colOff>535379</xdr:colOff>
      <xdr:row>3</xdr:row>
      <xdr:rowOff>72545</xdr:rowOff>
    </xdr:from>
    <xdr:to>
      <xdr:col>7</xdr:col>
      <xdr:colOff>549519</xdr:colOff>
      <xdr:row>4</xdr:row>
      <xdr:rowOff>80596</xdr:rowOff>
    </xdr:to>
    <xdr:sp macro="" textlink="'Pivot Report'!A13">
      <xdr:nvSpPr>
        <xdr:cNvPr id="49" name="TextBox 48">
          <a:extLst>
            <a:ext uri="{FF2B5EF4-FFF2-40B4-BE49-F238E27FC236}">
              <a16:creationId xmlns:a16="http://schemas.microsoft.com/office/drawing/2014/main" id="{1F588782-3CE0-41A7-AF30-826E4366B828}"/>
            </a:ext>
          </a:extLst>
        </xdr:cNvPr>
        <xdr:cNvSpPr txBox="1"/>
      </xdr:nvSpPr>
      <xdr:spPr>
        <a:xfrm>
          <a:off x="4184187" y="644045"/>
          <a:ext cx="622274" cy="198551"/>
        </a:xfrm>
        <a:prstGeom prst="rect">
          <a:avLst/>
        </a:prstGeom>
        <a:gradFill>
          <a:gsLst>
            <a:gs pos="0">
              <a:srgbClr val="7030A0"/>
            </a:gs>
            <a:gs pos="50000">
              <a:schemeClr val="accent3">
                <a:satMod val="110000"/>
                <a:lumMod val="100000"/>
                <a:shade val="100000"/>
              </a:schemeClr>
            </a:gs>
            <a:gs pos="100000">
              <a:schemeClr val="accent3">
                <a:lumMod val="99000"/>
                <a:satMod val="120000"/>
                <a:shade val="78000"/>
              </a:schemeClr>
            </a:gs>
          </a:gsLst>
        </a:gradFill>
        <a:ln/>
      </xdr:spPr>
      <xdr:style>
        <a:lnRef idx="0">
          <a:schemeClr val="accent3"/>
        </a:lnRef>
        <a:fillRef idx="3">
          <a:schemeClr val="accent3"/>
        </a:fillRef>
        <a:effectRef idx="3">
          <a:schemeClr val="accent3"/>
        </a:effectRef>
        <a:fontRef idx="minor">
          <a:schemeClr val="lt1"/>
        </a:fontRef>
      </xdr:style>
      <xdr:txBody>
        <a:bodyPr vertOverflow="clip" horzOverflow="clip" wrap="square" lIns="0" tIns="0" rIns="0" bIns="0" rtlCol="0" anchor="ctr"/>
        <a:lstStyle/>
        <a:p>
          <a:pPr algn="ctr"/>
          <a:fld id="{38BD62C7-2EFE-47B3-8EEE-76E9694988A2}" type="TxLink">
            <a:rPr lang="en-US" sz="1100" b="0" i="0" u="none" strike="noStrike">
              <a:ln>
                <a:noFill/>
              </a:ln>
              <a:solidFill>
                <a:schemeClr val="bg1"/>
              </a:solidFill>
              <a:latin typeface="Calibri"/>
              <a:cs typeface="Calibri"/>
            </a:rPr>
            <a:pPr algn="ctr"/>
            <a:t>4.79</a:t>
          </a:fld>
          <a:endParaRPr lang="en-US">
            <a:ln>
              <a:noFill/>
            </a:ln>
            <a:solidFill>
              <a:schemeClr val="bg1"/>
            </a:solidFill>
          </a:endParaRPr>
        </a:p>
      </xdr:txBody>
    </xdr:sp>
    <xdr:clientData/>
  </xdr:twoCellAnchor>
  <xdr:twoCellAnchor editAs="oneCell">
    <xdr:from>
      <xdr:col>5</xdr:col>
      <xdr:colOff>456126</xdr:colOff>
      <xdr:row>3</xdr:row>
      <xdr:rowOff>73784</xdr:rowOff>
    </xdr:from>
    <xdr:to>
      <xdr:col>6</xdr:col>
      <xdr:colOff>73785</xdr:colOff>
      <xdr:row>4</xdr:row>
      <xdr:rowOff>100616</xdr:rowOff>
    </xdr:to>
    <xdr:pic>
      <xdr:nvPicPr>
        <xdr:cNvPr id="57" name="Picture 56">
          <a:extLst>
            <a:ext uri="{FF2B5EF4-FFF2-40B4-BE49-F238E27FC236}">
              <a16:creationId xmlns:a16="http://schemas.microsoft.com/office/drawing/2014/main" id="{C9E5CC18-7552-4312-B8B5-6A28779C832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508151" y="637235"/>
          <a:ext cx="228064" cy="214649"/>
        </a:xfrm>
        <a:prstGeom prst="rect">
          <a:avLst/>
        </a:prstGeom>
      </xdr:spPr>
    </xdr:pic>
    <xdr:clientData/>
  </xdr:twoCellAnchor>
  <xdr:twoCellAnchor editAs="oneCell">
    <xdr:from>
      <xdr:col>8</xdr:col>
      <xdr:colOff>21258</xdr:colOff>
      <xdr:row>3</xdr:row>
      <xdr:rowOff>70113</xdr:rowOff>
    </xdr:from>
    <xdr:to>
      <xdr:col>8</xdr:col>
      <xdr:colOff>241551</xdr:colOff>
      <xdr:row>4</xdr:row>
      <xdr:rowOff>74403</xdr:rowOff>
    </xdr:to>
    <xdr:pic>
      <xdr:nvPicPr>
        <xdr:cNvPr id="63" name="Picture 62">
          <a:extLst>
            <a:ext uri="{FF2B5EF4-FFF2-40B4-BE49-F238E27FC236}">
              <a16:creationId xmlns:a16="http://schemas.microsoft.com/office/drawing/2014/main" id="{3A53F2F4-446A-43F1-8606-B69D4A60425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886335" y="641613"/>
          <a:ext cx="220293" cy="194790"/>
        </a:xfrm>
        <a:prstGeom prst="rect">
          <a:avLst/>
        </a:prstGeom>
      </xdr:spPr>
    </xdr:pic>
    <xdr:clientData/>
  </xdr:twoCellAnchor>
  <xdr:twoCellAnchor editAs="oneCell">
    <xdr:from>
      <xdr:col>3</xdr:col>
      <xdr:colOff>269920</xdr:colOff>
      <xdr:row>3</xdr:row>
      <xdr:rowOff>58221</xdr:rowOff>
    </xdr:from>
    <xdr:to>
      <xdr:col>3</xdr:col>
      <xdr:colOff>469542</xdr:colOff>
      <xdr:row>4</xdr:row>
      <xdr:rowOff>73784</xdr:rowOff>
    </xdr:to>
    <xdr:pic>
      <xdr:nvPicPr>
        <xdr:cNvPr id="65" name="Picture 64">
          <a:extLst>
            <a:ext uri="{FF2B5EF4-FFF2-40B4-BE49-F238E27FC236}">
              <a16:creationId xmlns:a16="http://schemas.microsoft.com/office/drawing/2014/main" id="{52C14B65-A258-4E24-B053-85E7ECA31E4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01135" y="621672"/>
          <a:ext cx="199622" cy="203380"/>
        </a:xfrm>
        <a:prstGeom prst="rect">
          <a:avLst/>
        </a:prstGeom>
      </xdr:spPr>
    </xdr:pic>
    <xdr:clientData/>
  </xdr:twoCellAnchor>
  <xdr:twoCellAnchor editAs="oneCell">
    <xdr:from>
      <xdr:col>0</xdr:col>
      <xdr:colOff>79375</xdr:colOff>
      <xdr:row>3</xdr:row>
      <xdr:rowOff>149930</xdr:rowOff>
    </xdr:from>
    <xdr:to>
      <xdr:col>1</xdr:col>
      <xdr:colOff>423333</xdr:colOff>
      <xdr:row>20</xdr:row>
      <xdr:rowOff>167567</xdr:rowOff>
    </xdr:to>
    <mc:AlternateContent xmlns:mc="http://schemas.openxmlformats.org/markup-compatibility/2006" xmlns:a14="http://schemas.microsoft.com/office/drawing/2010/main">
      <mc:Choice Requires="a14">
        <xdr:graphicFrame macro="">
          <xdr:nvGraphicFramePr>
            <xdr:cNvPr id="66" name="Date (Month)">
              <a:extLst>
                <a:ext uri="{FF2B5EF4-FFF2-40B4-BE49-F238E27FC236}">
                  <a16:creationId xmlns:a16="http://schemas.microsoft.com/office/drawing/2014/main" id="{5976D986-48FA-4745-A854-0B9C21498C7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9375" y="732013"/>
              <a:ext cx="952500" cy="33161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556846</xdr:colOff>
      <xdr:row>5</xdr:row>
      <xdr:rowOff>146539</xdr:rowOff>
    </xdr:from>
    <xdr:to>
      <xdr:col>3</xdr:col>
      <xdr:colOff>549519</xdr:colOff>
      <xdr:row>7</xdr:row>
      <xdr:rowOff>95251</xdr:rowOff>
    </xdr:to>
    <xdr:graphicFrame macro="">
      <xdr:nvGraphicFramePr>
        <xdr:cNvPr id="29" name="Chart 28">
          <a:hlinkClick xmlns:r="http://schemas.openxmlformats.org/officeDocument/2006/relationships" r:id="rId7"/>
          <a:extLst>
            <a:ext uri="{FF2B5EF4-FFF2-40B4-BE49-F238E27FC236}">
              <a16:creationId xmlns:a16="http://schemas.microsoft.com/office/drawing/2014/main" id="{A37DD935-E6EE-4FE1-B7B5-6E31CA6B7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109904</xdr:colOff>
      <xdr:row>5</xdr:row>
      <xdr:rowOff>153865</xdr:rowOff>
    </xdr:from>
    <xdr:to>
      <xdr:col>6</xdr:col>
      <xdr:colOff>117229</xdr:colOff>
      <xdr:row>7</xdr:row>
      <xdr:rowOff>109904</xdr:rowOff>
    </xdr:to>
    <xdr:graphicFrame macro="">
      <xdr:nvGraphicFramePr>
        <xdr:cNvPr id="32" name="Chart 31">
          <a:hlinkClick xmlns:r="http://schemas.openxmlformats.org/officeDocument/2006/relationships" r:id="rId2"/>
          <a:extLst>
            <a:ext uri="{FF2B5EF4-FFF2-40B4-BE49-F238E27FC236}">
              <a16:creationId xmlns:a16="http://schemas.microsoft.com/office/drawing/2014/main" id="{247AF35C-850B-4C8A-96B7-3A51D6CB8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227134</xdr:colOff>
      <xdr:row>5</xdr:row>
      <xdr:rowOff>187815</xdr:rowOff>
    </xdr:from>
    <xdr:to>
      <xdr:col>8</xdr:col>
      <xdr:colOff>307731</xdr:colOff>
      <xdr:row>7</xdr:row>
      <xdr:rowOff>117231</xdr:rowOff>
    </xdr:to>
    <xdr:graphicFrame macro="">
      <xdr:nvGraphicFramePr>
        <xdr:cNvPr id="34" name="Chart 33">
          <a:hlinkClick xmlns:r="http://schemas.openxmlformats.org/officeDocument/2006/relationships" r:id="rId3"/>
          <a:extLst>
            <a:ext uri="{FF2B5EF4-FFF2-40B4-BE49-F238E27FC236}">
              <a16:creationId xmlns:a16="http://schemas.microsoft.com/office/drawing/2014/main" id="{68161B81-10CE-4D14-ABE1-5EDEF66B6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509789</xdr:colOff>
      <xdr:row>8</xdr:row>
      <xdr:rowOff>6708</xdr:rowOff>
    </xdr:from>
    <xdr:to>
      <xdr:col>8</xdr:col>
      <xdr:colOff>362218</xdr:colOff>
      <xdr:row>11</xdr:row>
      <xdr:rowOff>0</xdr:rowOff>
    </xdr:to>
    <xdr:sp macro="" textlink="">
      <xdr:nvSpPr>
        <xdr:cNvPr id="3" name="Rectangle: Rounded Corners 2">
          <a:extLst>
            <a:ext uri="{FF2B5EF4-FFF2-40B4-BE49-F238E27FC236}">
              <a16:creationId xmlns:a16="http://schemas.microsoft.com/office/drawing/2014/main" id="{53A5663C-7CB2-4E4A-9227-D00590FDE94E}"/>
            </a:ext>
          </a:extLst>
        </xdr:cNvPr>
        <xdr:cNvSpPr/>
      </xdr:nvSpPr>
      <xdr:spPr>
        <a:xfrm>
          <a:off x="1120194" y="1509243"/>
          <a:ext cx="4125263" cy="556743"/>
        </a:xfrm>
        <a:prstGeom prst="roundRect">
          <a:avLst/>
        </a:prstGeom>
        <a:solidFill>
          <a:srgbClr val="9C5BC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570158</xdr:colOff>
      <xdr:row>8</xdr:row>
      <xdr:rowOff>40246</xdr:rowOff>
    </xdr:from>
    <xdr:to>
      <xdr:col>8</xdr:col>
      <xdr:colOff>301849</xdr:colOff>
      <xdr:row>10</xdr:row>
      <xdr:rowOff>147571</xdr:rowOff>
    </xdr:to>
    <xdr:pic>
      <xdr:nvPicPr>
        <xdr:cNvPr id="54" name="Picture 53">
          <a:extLst>
            <a:ext uri="{FF2B5EF4-FFF2-40B4-BE49-F238E27FC236}">
              <a16:creationId xmlns:a16="http://schemas.microsoft.com/office/drawing/2014/main" id="{3921F0CC-1FF3-4A65-A0B8-CBF760BF766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180563" y="1542781"/>
          <a:ext cx="4004525" cy="482959"/>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30741</xdr:colOff>
      <xdr:row>11</xdr:row>
      <xdr:rowOff>88446</xdr:rowOff>
    </xdr:from>
    <xdr:to>
      <xdr:col>8</xdr:col>
      <xdr:colOff>251732</xdr:colOff>
      <xdr:row>21</xdr:row>
      <xdr:rowOff>87506</xdr:rowOff>
    </xdr:to>
    <xdr:graphicFrame macro="">
      <xdr:nvGraphicFramePr>
        <xdr:cNvPr id="35" name="Chart 34">
          <a:extLst>
            <a:ext uri="{FF2B5EF4-FFF2-40B4-BE49-F238E27FC236}">
              <a16:creationId xmlns:a16="http://schemas.microsoft.com/office/drawing/2014/main" id="{E20E2D42-E251-4064-ABE7-9CB6FCB96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3</xdr:col>
      <xdr:colOff>74840</xdr:colOff>
      <xdr:row>20</xdr:row>
      <xdr:rowOff>81643</xdr:rowOff>
    </xdr:from>
    <xdr:to>
      <xdr:col>7</xdr:col>
      <xdr:colOff>81643</xdr:colOff>
      <xdr:row>21</xdr:row>
      <xdr:rowOff>89564</xdr:rowOff>
    </xdr:to>
    <xdr:sp macro="" textlink="">
      <xdr:nvSpPr>
        <xdr:cNvPr id="41" name="TextBox 40">
          <a:extLst>
            <a:ext uri="{FF2B5EF4-FFF2-40B4-BE49-F238E27FC236}">
              <a16:creationId xmlns:a16="http://schemas.microsoft.com/office/drawing/2014/main" id="{2883744E-EE20-4D14-9486-4867C192C9C7}"/>
            </a:ext>
          </a:extLst>
        </xdr:cNvPr>
        <xdr:cNvSpPr txBox="1"/>
      </xdr:nvSpPr>
      <xdr:spPr>
        <a:xfrm>
          <a:off x="1911804" y="3891643"/>
          <a:ext cx="2456089" cy="198421"/>
        </a:xfrm>
        <a:prstGeom prst="rect">
          <a:avLst/>
        </a:prstGeom>
        <a:solidFill>
          <a:srgbClr val="7030A0"/>
        </a:solidFill>
        <a:ln w="9525" cmpd="sng">
          <a:solidFill>
            <a:srgbClr val="A66BD3"/>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b="0">
              <a:ln>
                <a:noFill/>
              </a:ln>
              <a:solidFill>
                <a:schemeClr val="bg1"/>
              </a:solidFill>
            </a:rPr>
            <a:t>No.</a:t>
          </a:r>
          <a:r>
            <a:rPr lang="en-US" sz="1200" b="0" baseline="0">
              <a:ln>
                <a:noFill/>
              </a:ln>
              <a:solidFill>
                <a:schemeClr val="bg1"/>
              </a:solidFill>
            </a:rPr>
            <a:t> of Patient by age group</a:t>
          </a:r>
          <a:endParaRPr lang="en-US" sz="1200" b="0">
            <a:ln>
              <a:noFill/>
            </a:ln>
            <a:solidFill>
              <a:schemeClr val="bg1"/>
            </a:solidFill>
          </a:endParaRPr>
        </a:p>
      </xdr:txBody>
    </xdr:sp>
    <xdr:clientData/>
  </xdr:twoCellAnchor>
  <xdr:twoCellAnchor>
    <xdr:from>
      <xdr:col>8</xdr:col>
      <xdr:colOff>446943</xdr:colOff>
      <xdr:row>0</xdr:row>
      <xdr:rowOff>58614</xdr:rowOff>
    </xdr:from>
    <xdr:to>
      <xdr:col>10</xdr:col>
      <xdr:colOff>432289</xdr:colOff>
      <xdr:row>7</xdr:row>
      <xdr:rowOff>80596</xdr:rowOff>
    </xdr:to>
    <xdr:graphicFrame macro="">
      <xdr:nvGraphicFramePr>
        <xdr:cNvPr id="43" name="Chart 42">
          <a:extLst>
            <a:ext uri="{FF2B5EF4-FFF2-40B4-BE49-F238E27FC236}">
              <a16:creationId xmlns:a16="http://schemas.microsoft.com/office/drawing/2014/main" id="{31897916-88D8-4BDF-B0D2-8522A9A75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8</xdr:col>
      <xdr:colOff>461595</xdr:colOff>
      <xdr:row>6</xdr:row>
      <xdr:rowOff>77666</xdr:rowOff>
    </xdr:from>
    <xdr:to>
      <xdr:col>10</xdr:col>
      <xdr:colOff>461595</xdr:colOff>
      <xdr:row>7</xdr:row>
      <xdr:rowOff>131883</xdr:rowOff>
    </xdr:to>
    <xdr:sp macro="" textlink="">
      <xdr:nvSpPr>
        <xdr:cNvPr id="50" name="TextBox 49">
          <a:extLst>
            <a:ext uri="{FF2B5EF4-FFF2-40B4-BE49-F238E27FC236}">
              <a16:creationId xmlns:a16="http://schemas.microsoft.com/office/drawing/2014/main" id="{D75A4348-4928-4C9B-86BE-D8F222B20813}"/>
            </a:ext>
          </a:extLst>
        </xdr:cNvPr>
        <xdr:cNvSpPr txBox="1"/>
      </xdr:nvSpPr>
      <xdr:spPr>
        <a:xfrm>
          <a:off x="5326672" y="1220666"/>
          <a:ext cx="1216269" cy="244717"/>
        </a:xfrm>
        <a:prstGeom prst="rect">
          <a:avLst/>
        </a:prstGeom>
        <a:solidFill>
          <a:srgbClr val="7030A0"/>
        </a:solidFill>
        <a:ln w="9525" cmpd="sng">
          <a:solidFill>
            <a:srgbClr val="A66BD3"/>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b="0">
              <a:ln>
                <a:noFill/>
              </a:ln>
              <a:solidFill>
                <a:schemeClr val="bg1"/>
              </a:solidFill>
            </a:rPr>
            <a:t>Patient</a:t>
          </a:r>
          <a:r>
            <a:rPr lang="en-US" sz="1000" b="0" baseline="0">
              <a:ln>
                <a:noFill/>
              </a:ln>
              <a:solidFill>
                <a:schemeClr val="bg1"/>
              </a:solidFill>
            </a:rPr>
            <a:t> attended status</a:t>
          </a:r>
          <a:endParaRPr lang="en-US" sz="1000" b="0">
            <a:ln>
              <a:noFill/>
            </a:ln>
            <a:solidFill>
              <a:schemeClr val="bg1"/>
            </a:solidFill>
          </a:endParaRPr>
        </a:p>
      </xdr:txBody>
    </xdr:sp>
    <xdr:clientData/>
  </xdr:twoCellAnchor>
  <xdr:twoCellAnchor>
    <xdr:from>
      <xdr:col>10</xdr:col>
      <xdr:colOff>564173</xdr:colOff>
      <xdr:row>0</xdr:row>
      <xdr:rowOff>58616</xdr:rowOff>
    </xdr:from>
    <xdr:to>
      <xdr:col>12</xdr:col>
      <xdr:colOff>564173</xdr:colOff>
      <xdr:row>7</xdr:row>
      <xdr:rowOff>117232</xdr:rowOff>
    </xdr:to>
    <xdr:graphicFrame macro="">
      <xdr:nvGraphicFramePr>
        <xdr:cNvPr id="51" name="Chart 50">
          <a:extLst>
            <a:ext uri="{FF2B5EF4-FFF2-40B4-BE49-F238E27FC236}">
              <a16:creationId xmlns:a16="http://schemas.microsoft.com/office/drawing/2014/main" id="{D30F757E-A823-4CD1-8DC6-658179D9D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10</xdr:col>
      <xdr:colOff>556845</xdr:colOff>
      <xdr:row>6</xdr:row>
      <xdr:rowOff>84993</xdr:rowOff>
    </xdr:from>
    <xdr:to>
      <xdr:col>12</xdr:col>
      <xdr:colOff>556845</xdr:colOff>
      <xdr:row>7</xdr:row>
      <xdr:rowOff>139210</xdr:rowOff>
    </xdr:to>
    <xdr:sp macro="" textlink="">
      <xdr:nvSpPr>
        <xdr:cNvPr id="55" name="TextBox 54">
          <a:extLst>
            <a:ext uri="{FF2B5EF4-FFF2-40B4-BE49-F238E27FC236}">
              <a16:creationId xmlns:a16="http://schemas.microsoft.com/office/drawing/2014/main" id="{FDA32ADB-E931-4A0F-82E5-AB53633F4397}"/>
            </a:ext>
          </a:extLst>
        </xdr:cNvPr>
        <xdr:cNvSpPr txBox="1"/>
      </xdr:nvSpPr>
      <xdr:spPr>
        <a:xfrm>
          <a:off x="6638191" y="1227993"/>
          <a:ext cx="1216269" cy="244717"/>
        </a:xfrm>
        <a:prstGeom prst="rect">
          <a:avLst/>
        </a:prstGeom>
        <a:solidFill>
          <a:srgbClr val="7030A0"/>
        </a:solidFill>
        <a:ln w="9525" cmpd="sng">
          <a:solidFill>
            <a:srgbClr val="A66BD3"/>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b="0">
              <a:ln>
                <a:noFill/>
              </a:ln>
              <a:solidFill>
                <a:schemeClr val="bg1"/>
              </a:solidFill>
            </a:rPr>
            <a:t>Gender</a:t>
          </a:r>
          <a:r>
            <a:rPr lang="en-US" sz="1000" b="0" baseline="0">
              <a:ln>
                <a:noFill/>
              </a:ln>
              <a:solidFill>
                <a:schemeClr val="bg1"/>
              </a:solidFill>
            </a:rPr>
            <a:t> wise Analysis</a:t>
          </a:r>
          <a:endParaRPr lang="en-US" sz="1000" b="0">
            <a:ln>
              <a:noFill/>
            </a:ln>
            <a:solidFill>
              <a:schemeClr val="bg1"/>
            </a:solidFill>
          </a:endParaRPr>
        </a:p>
      </xdr:txBody>
    </xdr:sp>
    <xdr:clientData/>
  </xdr:twoCellAnchor>
  <xdr:twoCellAnchor>
    <xdr:from>
      <xdr:col>8</xdr:col>
      <xdr:colOff>490903</xdr:colOff>
      <xdr:row>9</xdr:row>
      <xdr:rowOff>0</xdr:rowOff>
    </xdr:from>
    <xdr:to>
      <xdr:col>12</xdr:col>
      <xdr:colOff>542192</xdr:colOff>
      <xdr:row>20</xdr:row>
      <xdr:rowOff>43962</xdr:rowOff>
    </xdr:to>
    <xdr:graphicFrame macro="">
      <xdr:nvGraphicFramePr>
        <xdr:cNvPr id="56" name="Chart 55">
          <a:extLst>
            <a:ext uri="{FF2B5EF4-FFF2-40B4-BE49-F238E27FC236}">
              <a16:creationId xmlns:a16="http://schemas.microsoft.com/office/drawing/2014/main" id="{1B1606B4-F42F-4551-8213-F0DF172570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9</xdr:col>
      <xdr:colOff>87924</xdr:colOff>
      <xdr:row>20</xdr:row>
      <xdr:rowOff>58615</xdr:rowOff>
    </xdr:from>
    <xdr:to>
      <xdr:col>12</xdr:col>
      <xdr:colOff>359021</xdr:colOff>
      <xdr:row>21</xdr:row>
      <xdr:rowOff>117230</xdr:rowOff>
    </xdr:to>
    <xdr:sp macro="" textlink="">
      <xdr:nvSpPr>
        <xdr:cNvPr id="58" name="TextBox 57">
          <a:extLst>
            <a:ext uri="{FF2B5EF4-FFF2-40B4-BE49-F238E27FC236}">
              <a16:creationId xmlns:a16="http://schemas.microsoft.com/office/drawing/2014/main" id="{EF45A45E-0FFF-4FE4-9EEF-9D6D17A74243}"/>
            </a:ext>
          </a:extLst>
        </xdr:cNvPr>
        <xdr:cNvSpPr txBox="1"/>
      </xdr:nvSpPr>
      <xdr:spPr>
        <a:xfrm>
          <a:off x="5561136" y="3868615"/>
          <a:ext cx="2095500" cy="249115"/>
        </a:xfrm>
        <a:prstGeom prst="rect">
          <a:avLst/>
        </a:prstGeom>
        <a:solidFill>
          <a:srgbClr val="7030A0"/>
        </a:solidFill>
        <a:ln w="9525" cmpd="sng">
          <a:solidFill>
            <a:srgbClr val="A66BD3"/>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b="0">
              <a:ln>
                <a:noFill/>
              </a:ln>
              <a:solidFill>
                <a:schemeClr val="bg1"/>
              </a:solidFill>
            </a:rPr>
            <a:t>No.</a:t>
          </a:r>
          <a:r>
            <a:rPr lang="en-US" sz="1000" b="0" baseline="0">
              <a:ln>
                <a:noFill/>
              </a:ln>
              <a:solidFill>
                <a:schemeClr val="bg1"/>
              </a:solidFill>
            </a:rPr>
            <a:t> of Patient by Department Referral</a:t>
          </a:r>
          <a:endParaRPr lang="en-US" sz="1000" b="0">
            <a:ln>
              <a:noFill/>
            </a:ln>
            <a:solidFill>
              <a:schemeClr val="bg1"/>
            </a:solidFill>
          </a:endParaRPr>
        </a:p>
      </xdr:txBody>
    </xdr:sp>
    <xdr:clientData/>
  </xdr:twoCellAnchor>
  <xdr:twoCellAnchor editAs="oneCell">
    <xdr:from>
      <xdr:col>6</xdr:col>
      <xdr:colOff>285750</xdr:colOff>
      <xdr:row>0</xdr:row>
      <xdr:rowOff>117231</xdr:rowOff>
    </xdr:from>
    <xdr:to>
      <xdr:col>8</xdr:col>
      <xdr:colOff>256443</xdr:colOff>
      <xdr:row>2</xdr:row>
      <xdr:rowOff>132231</xdr:rowOff>
    </xdr:to>
    <mc:AlternateContent xmlns:mc="http://schemas.openxmlformats.org/markup-compatibility/2006" xmlns:a14="http://schemas.microsoft.com/office/drawing/2010/main">
      <mc:Choice Requires="a14">
        <xdr:graphicFrame macro="">
          <xdr:nvGraphicFramePr>
            <xdr:cNvPr id="59" name="Date (Year)">
              <a:extLst>
                <a:ext uri="{FF2B5EF4-FFF2-40B4-BE49-F238E27FC236}">
                  <a16:creationId xmlns:a16="http://schemas.microsoft.com/office/drawing/2014/main" id="{40A0EEF3-C225-4148-8FFB-79D5279E5C1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934558" y="117231"/>
              <a:ext cx="1186962" cy="3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0</xdr:rowOff>
    </xdr:from>
    <xdr:to>
      <xdr:col>12</xdr:col>
      <xdr:colOff>571500</xdr:colOff>
      <xdr:row>20</xdr:row>
      <xdr:rowOff>180975</xdr:rowOff>
    </xdr:to>
    <xdr:graphicFrame macro="">
      <xdr:nvGraphicFramePr>
        <xdr:cNvPr id="2" name="Chart 1">
          <a:extLst>
            <a:ext uri="{FF2B5EF4-FFF2-40B4-BE49-F238E27FC236}">
              <a16:creationId xmlns:a16="http://schemas.microsoft.com/office/drawing/2014/main" id="{E5596AB6-6DFA-4042-A3BC-717FC7DC4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0.09078</cdr:x>
      <cdr:y>0.01527</cdr:y>
    </cdr:from>
    <cdr:to>
      <cdr:x>0.12824</cdr:x>
      <cdr:y>0.15267</cdr:y>
    </cdr:to>
    <cdr:grpSp>
      <cdr:nvGrpSpPr>
        <cdr:cNvPr id="4" name="Group 3">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E853EE6-4010-4A67-8102-6BD7ABD8F1C6}"/>
            </a:ext>
          </a:extLst>
        </cdr:cNvPr>
        <cdr:cNvGrpSpPr/>
      </cdr:nvGrpSpPr>
      <cdr:grpSpPr>
        <a:xfrm xmlns:a="http://schemas.openxmlformats.org/drawingml/2006/main">
          <a:off x="711631" y="60942"/>
          <a:ext cx="293652" cy="548360"/>
          <a:chOff x="600075" y="57151"/>
          <a:chExt cx="247650" cy="514350"/>
        </a:xfrm>
      </cdr:grpSpPr>
      <cdr:sp macro="" textlink="">
        <cdr:nvSpPr>
          <cdr:cNvPr id="2" name="Flowchart: Process 1">
            <a:extLst xmlns:a="http://schemas.openxmlformats.org/drawingml/2006/main">
              <a:ext uri="{FF2B5EF4-FFF2-40B4-BE49-F238E27FC236}">
                <a16:creationId xmlns:a16="http://schemas.microsoft.com/office/drawing/2014/main" id="{4F8C4413-8367-471A-9772-3E20BDB90694}"/>
              </a:ext>
            </a:extLst>
          </cdr:cNvPr>
          <cdr:cNvSpPr/>
        </cdr:nvSpPr>
        <cdr:spPr>
          <a:xfrm xmlns:a="http://schemas.openxmlformats.org/drawingml/2006/main">
            <a:off x="600075" y="304801"/>
            <a:ext cx="247650" cy="266700"/>
          </a:xfrm>
          <a:prstGeom xmlns:a="http://schemas.openxmlformats.org/drawingml/2006/main" prst="flowChartProcess">
            <a:avLst/>
          </a:prstGeom>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3" name="Isosceles Triangle 2">
            <a:extLst xmlns:a="http://schemas.openxmlformats.org/drawingml/2006/main">
              <a:ext uri="{FF2B5EF4-FFF2-40B4-BE49-F238E27FC236}">
                <a16:creationId xmlns:a16="http://schemas.microsoft.com/office/drawing/2014/main" id="{A51BD7AB-F7A8-46FA-AB41-66C4BAFE6DF6}"/>
              </a:ext>
            </a:extLst>
          </cdr:cNvPr>
          <cdr:cNvSpPr/>
        </cdr:nvSpPr>
        <cdr:spPr>
          <a:xfrm xmlns:a="http://schemas.openxmlformats.org/drawingml/2006/main">
            <a:off x="600075" y="57151"/>
            <a:ext cx="247650" cy="257176"/>
          </a:xfrm>
          <a:prstGeom xmlns:a="http://schemas.openxmlformats.org/drawingml/2006/main" prst="triangle">
            <a:avLst/>
          </a:prstGeom>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a:p>
        </cdr:txBody>
      </cdr:sp>
    </cdr:grp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571500</xdr:colOff>
      <xdr:row>20</xdr:row>
      <xdr:rowOff>38100</xdr:rowOff>
    </xdr:to>
    <xdr:graphicFrame macro="">
      <xdr:nvGraphicFramePr>
        <xdr:cNvPr id="2" name="Chart 1">
          <a:extLst>
            <a:ext uri="{FF2B5EF4-FFF2-40B4-BE49-F238E27FC236}">
              <a16:creationId xmlns:a16="http://schemas.microsoft.com/office/drawing/2014/main" id="{A964220E-1BA3-481E-ADEF-81FA353E7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85725</xdr:colOff>
      <xdr:row>0</xdr:row>
      <xdr:rowOff>171450</xdr:rowOff>
    </xdr:from>
    <xdr:to>
      <xdr:col>1</xdr:col>
      <xdr:colOff>400050</xdr:colOff>
      <xdr:row>4</xdr:row>
      <xdr:rowOff>0</xdr:rowOff>
    </xdr:to>
    <xdr:grpSp>
      <xdr:nvGrpSpPr>
        <xdr:cNvPr id="5" name="Group 4">
          <a:hlinkClick xmlns:r="http://schemas.openxmlformats.org/officeDocument/2006/relationships" r:id="rId2"/>
          <a:extLst>
            <a:ext uri="{FF2B5EF4-FFF2-40B4-BE49-F238E27FC236}">
              <a16:creationId xmlns:a16="http://schemas.microsoft.com/office/drawing/2014/main" id="{A57CEC7A-AF73-4116-86EE-42135898B9D2}"/>
            </a:ext>
          </a:extLst>
        </xdr:cNvPr>
        <xdr:cNvGrpSpPr/>
      </xdr:nvGrpSpPr>
      <xdr:grpSpPr>
        <a:xfrm>
          <a:off x="695325" y="171450"/>
          <a:ext cx="314325" cy="590550"/>
          <a:chOff x="647700" y="47625"/>
          <a:chExt cx="314325" cy="590550"/>
        </a:xfrm>
      </xdr:grpSpPr>
      <xdr:sp macro="" textlink="">
        <xdr:nvSpPr>
          <xdr:cNvPr id="3" name="Flowchart: Process 2">
            <a:extLst>
              <a:ext uri="{FF2B5EF4-FFF2-40B4-BE49-F238E27FC236}">
                <a16:creationId xmlns:a16="http://schemas.microsoft.com/office/drawing/2014/main" id="{B413B866-70B3-41D5-B67F-342BB473BF80}"/>
              </a:ext>
            </a:extLst>
          </xdr:cNvPr>
          <xdr:cNvSpPr/>
        </xdr:nvSpPr>
        <xdr:spPr>
          <a:xfrm>
            <a:off x="647700" y="381000"/>
            <a:ext cx="314325" cy="257175"/>
          </a:xfrm>
          <a:prstGeom prst="flowChartProcess">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4" name="Isosceles Triangle 3">
            <a:extLst>
              <a:ext uri="{FF2B5EF4-FFF2-40B4-BE49-F238E27FC236}">
                <a16:creationId xmlns:a16="http://schemas.microsoft.com/office/drawing/2014/main" id="{968613FF-BBBB-4A2E-A3F2-9EE7D7EDB11E}"/>
              </a:ext>
            </a:extLst>
          </xdr:cNvPr>
          <xdr:cNvSpPr/>
        </xdr:nvSpPr>
        <xdr:spPr>
          <a:xfrm>
            <a:off x="657225" y="47625"/>
            <a:ext cx="295275" cy="323850"/>
          </a:xfrm>
          <a:prstGeom prst="triangl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581024</xdr:colOff>
      <xdr:row>19</xdr:row>
      <xdr:rowOff>66674</xdr:rowOff>
    </xdr:to>
    <xdr:graphicFrame macro="">
      <xdr:nvGraphicFramePr>
        <xdr:cNvPr id="2" name="Chart 1">
          <a:extLst>
            <a:ext uri="{FF2B5EF4-FFF2-40B4-BE49-F238E27FC236}">
              <a16:creationId xmlns:a16="http://schemas.microsoft.com/office/drawing/2014/main" id="{285A79C7-158F-47E0-B1A3-B4DC64639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85725</xdr:colOff>
      <xdr:row>0</xdr:row>
      <xdr:rowOff>76200</xdr:rowOff>
    </xdr:from>
    <xdr:to>
      <xdr:col>1</xdr:col>
      <xdr:colOff>438150</xdr:colOff>
      <xdr:row>3</xdr:row>
      <xdr:rowOff>104775</xdr:rowOff>
    </xdr:to>
    <xdr:grpSp>
      <xdr:nvGrpSpPr>
        <xdr:cNvPr id="5" name="Group 4">
          <a:hlinkClick xmlns:r="http://schemas.openxmlformats.org/officeDocument/2006/relationships" r:id="rId2"/>
          <a:extLst>
            <a:ext uri="{FF2B5EF4-FFF2-40B4-BE49-F238E27FC236}">
              <a16:creationId xmlns:a16="http://schemas.microsoft.com/office/drawing/2014/main" id="{91025D5A-9C68-498C-9A66-0B66A42FB472}"/>
            </a:ext>
          </a:extLst>
        </xdr:cNvPr>
        <xdr:cNvGrpSpPr/>
      </xdr:nvGrpSpPr>
      <xdr:grpSpPr>
        <a:xfrm>
          <a:off x="695325" y="76200"/>
          <a:ext cx="352425" cy="600075"/>
          <a:chOff x="695325" y="76200"/>
          <a:chExt cx="352425" cy="600075"/>
        </a:xfrm>
        <a:solidFill>
          <a:schemeClr val="bg1"/>
        </a:solidFill>
      </xdr:grpSpPr>
      <xdr:sp macro="" textlink="">
        <xdr:nvSpPr>
          <xdr:cNvPr id="3" name="Rectangle 2">
            <a:extLst>
              <a:ext uri="{FF2B5EF4-FFF2-40B4-BE49-F238E27FC236}">
                <a16:creationId xmlns:a16="http://schemas.microsoft.com/office/drawing/2014/main" id="{01F5DAB6-AC42-4262-B887-9B4A358B5FA1}"/>
              </a:ext>
            </a:extLst>
          </xdr:cNvPr>
          <xdr:cNvSpPr/>
        </xdr:nvSpPr>
        <xdr:spPr>
          <a:xfrm>
            <a:off x="695325" y="371475"/>
            <a:ext cx="352425" cy="304800"/>
          </a:xfrm>
          <a:prstGeom prst="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Isosceles Triangle 3">
            <a:extLst>
              <a:ext uri="{FF2B5EF4-FFF2-40B4-BE49-F238E27FC236}">
                <a16:creationId xmlns:a16="http://schemas.microsoft.com/office/drawing/2014/main" id="{379B0B1C-43B6-4D77-8B28-CCC5E321BDAD}"/>
              </a:ext>
            </a:extLst>
          </xdr:cNvPr>
          <xdr:cNvSpPr/>
        </xdr:nvSpPr>
        <xdr:spPr>
          <a:xfrm>
            <a:off x="704850" y="76200"/>
            <a:ext cx="323850" cy="295275"/>
          </a:xfrm>
          <a:prstGeom prst="triangle">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544907986114" createdVersion="5" refreshedVersion="7" minRefreshableVersion="3" recordCount="0" supportSubquery="1" supportAdvancedDrill="1" xr:uid="{7E8D1984-76AB-4192-8798-683A5EE3ECB0}">
  <cacheSource type="external" connectionId="3"/>
  <cacheFields count="4">
    <cacheField name="[Calendar_Table].[Date (Month)].[Date (Month)]" caption="Date (Month)" numFmtId="0" hierarchy="1" level="1">
      <sharedItems containsNonDate="0"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ntainsNonDate="0" count="1">
        <s v="Qtr1"/>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544908333337" createdVersion="5" refreshedVersion="7" minRefreshableVersion="3" recordCount="0" supportSubquery="1" supportAdvancedDrill="1" xr:uid="{E1A9CCC7-0330-4FB1-A07E-68BE72206086}">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544908680553" createdVersion="5" refreshedVersion="7" minRefreshableVersion="3" recordCount="0" supportSubquery="1" supportAdvancedDrill="1" xr:uid="{A1D891C5-B0BB-4CAB-B1E4-EF24963D1B75}">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544909259261" createdVersion="5" refreshedVersion="7" minRefreshableVersion="3" recordCount="0" supportSubquery="1" supportAdvancedDrill="1" xr:uid="{23F276D5-8227-4B3E-B818-6A516C64A88A}">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544909606484" createdVersion="5" refreshedVersion="7" minRefreshableVersion="3" recordCount="0" supportSubquery="1" supportAdvancedDrill="1" xr:uid="{FCE95083-D129-45CB-B234-8E14962D7B81}">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544909953707" createdVersion="5" refreshedVersion="7" minRefreshableVersion="3" recordCount="0" supportSubquery="1" supportAdvancedDrill="1" xr:uid="{65A44273-8C49-499D-9045-7E4551E9DB8D}">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544910532408" createdVersion="5" refreshedVersion="7" minRefreshableVersion="3" recordCount="0" supportSubquery="1" supportAdvancedDrill="1" xr:uid="{87856487-3BA9-4F98-8317-7A17F47AAA0C}">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544911226854" createdVersion="5" refreshedVersion="7" minRefreshableVersion="3" recordCount="0" supportSubquery="1" supportAdvancedDrill="1" xr:uid="{3F42A91B-DD8D-4A9E-9798-2F533086A333}">
  <cacheSource type="external" connectionId="3"/>
  <cacheFields count="4">
    <cacheField name="[Calendar_Table].[Date (Day)].[Date (Day)]" caption="Date (Day)" numFmtId="0" hierarchy="2" level="1">
      <sharedItems count="32">
        <s v="1-Jul"/>
        <s v="2-Jul"/>
        <s v="3-Jul"/>
        <s v="4-Jul"/>
        <s v="5-Jul"/>
        <s v="6-Jul"/>
        <s v="7-Jul"/>
        <s v="8-Jul"/>
        <s v="9-Jul"/>
        <s v="10-Jul"/>
        <s v="11-Jul"/>
        <s v="12-Jul"/>
        <s v="13-Jul"/>
        <s v="14-Jul"/>
        <s v="15-Jul"/>
        <s v="16-Jul"/>
        <s v="17-Jul"/>
        <s v="18-Jul"/>
        <s v="19-Jul"/>
        <s v="20-Jul"/>
        <s v="21-Jul"/>
        <s v="22-Jul"/>
        <s v="23-Jul"/>
        <s v="24-Jul"/>
        <s v="25-Jul"/>
        <s v="26-Jul"/>
        <s v="27-Jul"/>
        <s v="28-Jul"/>
        <s v="29-Jul"/>
        <s v="30-Jul"/>
        <s v="31-Jul"/>
        <s v="1-Jan" u="1"/>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544912152778" createdVersion="5" refreshedVersion="7" minRefreshableVersion="3" recordCount="0" supportSubquery="1" supportAdvancedDrill="1" xr:uid="{509CD3F3-6AB1-4611-B656-A353E91595D6}">
  <cacheSource type="external" connectionId="3"/>
  <cacheFields count="4">
    <cacheField name="[Calendar_Table].[Date (Day)].[Date (Day)]" caption="Date (Day)" numFmtId="0" hierarchy="2" level="1">
      <sharedItems count="32">
        <s v="1-Jul"/>
        <s v="2-Jul"/>
        <s v="3-Jul"/>
        <s v="4-Jul"/>
        <s v="5-Jul"/>
        <s v="6-Jul"/>
        <s v="7-Jul"/>
        <s v="8-Jul"/>
        <s v="9-Jul"/>
        <s v="10-Jul"/>
        <s v="11-Jul"/>
        <s v="12-Jul"/>
        <s v="13-Jul"/>
        <s v="14-Jul"/>
        <s v="15-Jul"/>
        <s v="16-Jul"/>
        <s v="17-Jul"/>
        <s v="18-Jul"/>
        <s v="19-Jul"/>
        <s v="20-Jul"/>
        <s v="21-Jul"/>
        <s v="22-Jul"/>
        <s v="23-Jul"/>
        <s v="24-Jul"/>
        <s v="25-Jul"/>
        <s v="26-Jul"/>
        <s v="27-Jul"/>
        <s v="28-Jul"/>
        <s v="29-Jul"/>
        <s v="30-Jul"/>
        <s v="31-Jul"/>
        <s v="1-Jan"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54491261574" createdVersion="5" refreshedVersion="7" minRefreshableVersion="3" recordCount="0" supportSubquery="1" supportAdvancedDrill="1" xr:uid="{72A4AF57-D4F5-4EDF-8622-2F581E28B449}">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_Table].[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544913194448" createdVersion="5" refreshedVersion="7" minRefreshableVersion="3" recordCount="0" supportSubquery="1" supportAdvancedDrill="1" xr:uid="{3551CA89-DCEB-429C-A432-9E697FA37F15}">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3.544913773148" createdVersion="5" refreshedVersion="7" minRefreshableVersion="3" recordCount="0" supportSubquery="1" supportAdvancedDrill="1" xr:uid="{59D244E4-F2A9-42DE-8D34-93A8E14A1351}">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29"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12.930468634258" createdVersion="3" refreshedVersion="7" minRefreshableVersion="3" recordCount="0" supportSubquery="1" supportAdvancedDrill="1" xr:uid="{81B9302D-7786-4162-87C0-3AD1CCCE1EE5}">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402152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DA5040-4D39-4C70-B788-B337D10A5118}" name="PivotTable11" cacheId="1248" applyNumberFormats="0" applyBorderFormats="0" applyFontFormats="0" applyPatternFormats="0" applyAlignmentFormats="0" applyWidthHeightFormats="1" dataCaption="Values" tag="12261d7b-f960-4942-a20b-08da2f230f29" updatedVersion="7" minRefreshableVersion="3" subtotalHiddenItems="1" itemPrintTitles="1" createdVersion="5" indent="0" outline="1" outlineData="1" multipleFieldFilters="0" chartFormat="122">
  <location ref="A60:B6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3">
    <format dxfId="964">
      <pivotArea outline="0" collapsedLevelsAreSubtotals="1" fieldPosition="0"/>
    </format>
    <format dxfId="963">
      <pivotArea outline="0" collapsedLevelsAreSubtotals="1" fieldPosition="0"/>
    </format>
    <format dxfId="962">
      <pivotArea outline="0" collapsedLevelsAreSubtotals="1" fieldPosition="0"/>
    </format>
  </formats>
  <chartFormats count="1">
    <chartFormat chart="12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DD40D4-FE73-4B2E-9DEC-2F9362852E9F}" name="PivotTable6" cacheId="1263" applyNumberFormats="0" applyBorderFormats="0" applyFontFormats="0" applyPatternFormats="0" applyAlignmentFormats="0" applyWidthHeightFormats="1" dataCaption="Values" tag="12261d7b-f960-4942-a20b-08da2f230f29" updatedVersion="7" minRefreshableVersion="3" subtotalHiddenItems="1" itemPrintTitles="1" createdVersion="5" indent="0" outline="1" outlineData="1" multipleFieldFilters="0" chartFormat="24">
  <location ref="J4:K36"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4">
    <format dxfId="968">
      <pivotArea outline="0" collapsedLevelsAreSubtotals="1" fieldPosition="0"/>
    </format>
    <format dxfId="967">
      <pivotArea outline="0" collapsedLevelsAreSubtotals="1" fieldPosition="0"/>
    </format>
    <format dxfId="966">
      <pivotArea collapsedLevelsAreSubtotals="1" fieldPosition="0">
        <references count="1">
          <reference field="0" count="1">
            <x v="31"/>
          </reference>
        </references>
      </pivotArea>
    </format>
    <format dxfId="965">
      <pivotArea outline="0" collapsedLevelsAreSubtotals="1" fieldPosition="0"/>
    </format>
  </formats>
  <chartFormats count="2">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95ED2E-2B23-4D09-B54B-F693731EC1BB}" name="PivotTable5" cacheId="1260" applyNumberFormats="0" applyBorderFormats="0" applyFontFormats="0" applyPatternFormats="0" applyAlignmentFormats="0" applyWidthHeightFormats="1" dataCaption="Values" tag="12261d7b-f960-4942-a20b-08da2f230f29" updatedVersion="7" minRefreshableVersion="3" subtotalHiddenItems="1" itemPrintTitles="1" createdVersion="5" indent="0" outline="1" outlineData="1" multipleFieldFilters="0" chartFormat="19">
  <location ref="G4:H36" firstHeaderRow="1" firstDataRow="1" firstDataCol="1"/>
  <pivotFields count="4">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4">
    <format dxfId="972">
      <pivotArea outline="0" collapsedLevelsAreSubtotals="1" fieldPosition="0"/>
    </format>
    <format dxfId="971">
      <pivotArea outline="0" collapsedLevelsAreSubtotals="1" fieldPosition="0"/>
    </format>
    <format dxfId="970">
      <pivotArea collapsedLevelsAreSubtotals="1" fieldPosition="0">
        <references count="1">
          <reference field="0" count="1">
            <x v="31"/>
          </reference>
        </references>
      </pivotArea>
    </format>
    <format dxfId="969">
      <pivotArea outline="0" collapsedLevelsAreSubtotals="1" fieldPosition="0"/>
    </format>
  </formats>
  <chartFormats count="2">
    <chartFormat chart="13"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CD3F96-391D-4516-9282-70A37F49BAC2}" name="PivotTable10" cacheId="1245" applyNumberFormats="0" applyBorderFormats="0" applyFontFormats="0" applyPatternFormats="0" applyAlignmentFormats="0" applyWidthHeightFormats="1" dataCaption="Values" tag="12261d7b-f960-4942-a20b-08da2f230f29" updatedVersion="7" minRefreshableVersion="3" subtotalHiddenItems="1" itemPrintTitles="1" createdVersion="5" indent="0" outline="1" outlineData="1" multipleFieldFilters="0" chartFormat="131">
  <location ref="E55:F5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3">
    <format dxfId="975">
      <pivotArea outline="0" collapsedLevelsAreSubtotals="1" fieldPosition="0"/>
    </format>
    <format dxfId="974">
      <pivotArea outline="0" collapsedLevelsAreSubtotals="1" fieldPosition="0"/>
    </format>
    <format dxfId="973">
      <pivotArea outline="0" collapsedLevelsAreSubtotals="1" fieldPosition="0"/>
    </format>
  </formats>
  <chartFormats count="3">
    <chartFormat chart="130" format="4" series="1">
      <pivotArea type="data" outline="0" fieldPosition="0">
        <references count="1">
          <reference field="4294967294" count="1" selected="0">
            <x v="0"/>
          </reference>
        </references>
      </pivotArea>
    </chartFormat>
    <chartFormat chart="130" format="5">
      <pivotArea type="data" outline="0" fieldPosition="0">
        <references count="2">
          <reference field="4294967294" count="1" selected="0">
            <x v="0"/>
          </reference>
          <reference field="1" count="1" selected="0">
            <x v="0"/>
          </reference>
        </references>
      </pivotArea>
    </chartFormat>
    <chartFormat chart="130"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578784-5A8C-418A-819A-6663113F6E41}" name="PivotTable4" cacheId="1257" applyNumberFormats="0" applyBorderFormats="0" applyFontFormats="0" applyPatternFormats="0" applyAlignmentFormats="0" applyWidthHeightFormats="1" dataCaption="Values" tag="12261d7b-f960-4942-a20b-08da2f230f29" updatedVersion="7" minRefreshableVersion="3" subtotalHiddenItems="1" itemPrintTitles="1" createdVersion="5" indent="0" outline="1" outlineData="1" multipleFieldFilters="0" chartFormat="12">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977">
      <pivotArea outline="0" collapsedLevelsAreSubtotals="1" fieldPosition="0"/>
    </format>
    <format dxfId="976">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A36820-8396-4E05-9190-D6F289EC0AFE}" name="PivotTable3" cacheId="1254" applyNumberFormats="0" applyBorderFormats="0" applyFontFormats="0" applyPatternFormats="0" applyAlignmentFormats="0" applyWidthHeightFormats="1" dataCaption="Values" tag="12261d7b-f960-4942-a20b-08da2f230f29" updatedVersion="7"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2">
    <format dxfId="979">
      <pivotArea outline="0" collapsedLevelsAreSubtotals="1" fieldPosition="0"/>
    </format>
    <format dxfId="978">
      <pivotArea outline="0" collapsedLevelsAreSubtotals="1" fieldPosition="0"/>
    </format>
  </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FA3D65-AE10-4ADF-AB79-B5A50CC05995}" name="PivotTable9" cacheId="1272" applyNumberFormats="0" applyBorderFormats="0" applyFontFormats="0" applyPatternFormats="0" applyAlignmentFormats="0" applyWidthHeightFormats="1" dataCaption="Values" tag="12261d7b-f960-4942-a20b-08da2f230f29" updatedVersion="7" minRefreshableVersion="3" subtotalHiddenItems="1" itemPrintTitles="1" createdVersion="5" indent="0" outline="1" outlineData="1" multipleFieldFilters="0" chartFormat="127">
  <location ref="E48:F5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3">
    <format dxfId="982">
      <pivotArea outline="0" collapsedLevelsAreSubtotals="1" fieldPosition="0"/>
    </format>
    <format dxfId="981">
      <pivotArea outline="0" collapsedLevelsAreSubtotals="1" fieldPosition="0"/>
    </format>
    <format dxfId="980">
      <pivotArea outline="0" collapsedLevelsAreSubtotals="1" fieldPosition="0"/>
    </format>
  </formats>
  <chartFormats count="3">
    <chartFormat chart="125" format="4" series="1">
      <pivotArea type="data" outline="0" fieldPosition="0">
        <references count="1">
          <reference field="4294967294" count="1" selected="0">
            <x v="0"/>
          </reference>
        </references>
      </pivotArea>
    </chartFormat>
    <chartFormat chart="125" format="5">
      <pivotArea type="data" outline="0" fieldPosition="0">
        <references count="2">
          <reference field="4294967294" count="1" selected="0">
            <x v="0"/>
          </reference>
          <reference field="1" count="1" selected="0">
            <x v="0"/>
          </reference>
        </references>
      </pivotArea>
    </chartFormat>
    <chartFormat chart="125"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F8A5A8-E1A9-422C-9A61-470071F8C2F0}" name="PivotTable2" cacheId="1251" applyNumberFormats="0" applyBorderFormats="0" applyFontFormats="0" applyPatternFormats="0" applyAlignmentFormats="0" applyWidthHeightFormats="1" dataCaption="Values" tag="12261d7b-f960-4942-a20b-08da2f230f29" updatedVersion="7"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4">
    <format dxfId="986">
      <pivotArea outline="0" collapsedLevelsAreSubtotals="1" fieldPosition="0"/>
    </format>
    <format dxfId="985">
      <pivotArea outline="0" collapsedLevelsAreSubtotals="1" fieldPosition="0"/>
    </format>
    <format dxfId="984">
      <pivotArea outline="0" collapsedLevelsAreSubtotals="1" fieldPosition="0"/>
    </format>
    <format dxfId="983">
      <pivotArea outline="0" collapsedLevelsAreSubtotals="1" fieldPosition="0"/>
    </format>
  </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9CF5CA-5F57-4473-8D11-77E2E9394794}" name="PivotTable8" cacheId="1269" applyNumberFormats="0" applyBorderFormats="0" applyFontFormats="0" applyPatternFormats="0" applyAlignmentFormats="0" applyWidthHeightFormats="1" dataCaption="Values" tag="12261d7b-f960-4942-a20b-08da2f230f29" updatedVersion="7" minRefreshableVersion="3" subtotalHiddenItems="1" itemPrintTitles="1" createdVersion="5" indent="0" outline="1" outlineData="1" multipleFieldFilters="0" chartFormat="118">
  <location ref="A48:B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989">
      <pivotArea outline="0" collapsedLevelsAreSubtotals="1" fieldPosition="0"/>
    </format>
    <format dxfId="988">
      <pivotArea outline="0" collapsedLevelsAreSubtotals="1" fieldPosition="0"/>
    </format>
    <format dxfId="987">
      <pivotArea outline="0" collapsedLevelsAreSubtotals="1" fieldPosition="0"/>
    </format>
  </formats>
  <chartFormats count="1">
    <chartFormat chart="11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1EB1D9-2C95-4B29-A4E7-3D91ED84F209}" name="PivotTable7" cacheId="1266" applyNumberFormats="0" applyBorderFormats="0" applyFontFormats="0" applyPatternFormats="0" applyAlignmentFormats="0" applyWidthHeightFormats="1" dataCaption="Values" tag="12261d7b-f960-4942-a20b-08da2f230f29" updatedVersion="7" minRefreshableVersion="3" subtotalHiddenItems="1" itemPrintTitles="1" createdVersion="5" indent="0" outline="1" outlineData="1" multipleFieldFilters="0" chartFormat="112">
  <location ref="A37:C4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993">
      <pivotArea outline="0" collapsedLevelsAreSubtotals="1" fieldPosition="0"/>
    </format>
    <format dxfId="992">
      <pivotArea outline="0" collapsedLevelsAreSubtotals="1" fieldPosition="0"/>
    </format>
    <format dxfId="991">
      <pivotArea outline="0" collapsedLevelsAreSubtotals="1" fieldPosition="0"/>
    </format>
    <format dxfId="99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36">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2C31A19-5BD5-403C-B63A-D5ADEF18AA1B}" name="PivotTable1" cacheId="1242" applyNumberFormats="0" applyBorderFormats="0" applyFontFormats="0" applyPatternFormats="0" applyAlignmentFormats="0" applyWidthHeightFormats="1" dataCaption="Values" tag="12261d7b-f960-4942-a20b-08da2f230f29"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2">
    <format dxfId="995">
      <pivotArea outline="0" collapsedLevelsAreSubtotals="1" fieldPosition="0"/>
    </format>
    <format dxfId="994">
      <pivotArea outline="0" collapsedLevelsAreSubtotals="1" fieldPosition="0"/>
    </format>
  </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BDEC64-FB92-4D08-801A-1809E351EA35}" name="PivotTable12" cacheId="1239" applyNumberFormats="0" applyBorderFormats="0" applyFontFormats="0" applyPatternFormats="0" applyAlignmentFormats="0" applyWidthHeightFormats="1" dataCaption="Values" tag="12261d7b-f960-4942-a20b-08da2f230f29" updatedVersion="7" minRefreshableVersion="3" subtotalHiddenItems="1" itemPrintTitles="1" createdVersion="5" indent="0" outline="1" outlineData="1" multipleFieldFilters="0" chartFormat="131">
  <location ref="E62:E6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3">
    <format dxfId="998">
      <pivotArea outline="0" collapsedLevelsAreSubtotals="1" fieldPosition="0"/>
    </format>
    <format dxfId="997">
      <pivotArea outline="0" collapsedLevelsAreSubtotals="1" fieldPosition="0"/>
    </format>
    <format dxfId="996">
      <pivotArea outline="0" collapsedLevelsAreSubtotals="1" fieldPosition="0"/>
    </format>
  </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caption="Count of Patient Waittime"/>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687DEC2-7E98-44F9-AFC7-2615E00C879B}"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34021528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C498A4C-4DBE-4760-9EAC-094E536DFCF2}"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40215286">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A3AEC6E-6C57-4CED-AD05-7FD37AFF71B5}" cache="Slicer_Date__Month" caption="Date (Month)" startItem="1" showCaption="0" level="1" style="my style" rowHeight="241300"/>
  <slicer name="Date (Year)" xr10:uid="{552CB8FB-FE9D-4011-AD23-A48AEB7D8EBD}" cache="Slicer_Date__Year" caption="Date (Year)" columnCount="2" showCaption="0" level="1" style="my style"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4C45F-8B23-4628-8BCF-5388CCBB40A9}">
  <dimension ref="A3:K69"/>
  <sheetViews>
    <sheetView tabSelected="1" topLeftCell="A46" workbookViewId="0">
      <selection activeCell="A59" sqref="A59"/>
    </sheetView>
  </sheetViews>
  <sheetFormatPr defaultRowHeight="15" x14ac:dyDescent="0.25"/>
  <cols>
    <col min="1" max="1" width="25.140625" bestFit="1" customWidth="1"/>
    <col min="2" max="2" width="16.28515625" customWidth="1"/>
    <col min="4" max="4" width="14" customWidth="1"/>
    <col min="5" max="5" width="24.140625" customWidth="1"/>
    <col min="7" max="7" width="15.42578125" customWidth="1"/>
    <col min="8" max="8" width="24.140625" customWidth="1"/>
    <col min="11" max="11" width="19.140625" customWidth="1"/>
  </cols>
  <sheetData>
    <row r="3" spans="1:11" x14ac:dyDescent="0.25">
      <c r="A3" t="s">
        <v>75</v>
      </c>
      <c r="D3" t="s">
        <v>76</v>
      </c>
      <c r="G3" t="s">
        <v>6</v>
      </c>
      <c r="J3" t="s">
        <v>11</v>
      </c>
    </row>
    <row r="4" spans="1:11" x14ac:dyDescent="0.25">
      <c r="A4" t="s">
        <v>2</v>
      </c>
      <c r="D4" s="1" t="s">
        <v>0</v>
      </c>
      <c r="E4" t="s">
        <v>2</v>
      </c>
      <c r="G4" s="1" t="s">
        <v>0</v>
      </c>
      <c r="H4" t="s">
        <v>4</v>
      </c>
      <c r="J4" s="1" t="s">
        <v>0</v>
      </c>
      <c r="K4" t="s">
        <v>5</v>
      </c>
    </row>
    <row r="5" spans="1:11" x14ac:dyDescent="0.25">
      <c r="A5" s="3">
        <v>488</v>
      </c>
      <c r="D5" s="2" t="s">
        <v>44</v>
      </c>
      <c r="E5" s="3">
        <v>17</v>
      </c>
      <c r="G5" s="2" t="s">
        <v>44</v>
      </c>
      <c r="H5" s="5">
        <v>36.941176470588232</v>
      </c>
      <c r="J5" s="2" t="s">
        <v>44</v>
      </c>
      <c r="K5" s="5">
        <v>4.125</v>
      </c>
    </row>
    <row r="6" spans="1:11" x14ac:dyDescent="0.25">
      <c r="D6" s="2" t="s">
        <v>45</v>
      </c>
      <c r="E6" s="3">
        <v>19</v>
      </c>
      <c r="G6" s="2" t="s">
        <v>45</v>
      </c>
      <c r="H6" s="5">
        <v>30.842105263157894</v>
      </c>
      <c r="J6" s="2" t="s">
        <v>45</v>
      </c>
      <c r="K6" s="5">
        <v>5.333333333333333</v>
      </c>
    </row>
    <row r="7" spans="1:11" x14ac:dyDescent="0.25">
      <c r="D7" s="2" t="s">
        <v>46</v>
      </c>
      <c r="E7" s="3">
        <v>12</v>
      </c>
      <c r="G7" s="2" t="s">
        <v>46</v>
      </c>
      <c r="H7" s="5">
        <v>31.833333333333332</v>
      </c>
      <c r="J7" s="2" t="s">
        <v>46</v>
      </c>
      <c r="K7" s="5">
        <v>4.75</v>
      </c>
    </row>
    <row r="8" spans="1:11" x14ac:dyDescent="0.25">
      <c r="A8" t="s">
        <v>4</v>
      </c>
      <c r="D8" s="2" t="s">
        <v>47</v>
      </c>
      <c r="E8" s="3">
        <v>9</v>
      </c>
      <c r="G8" s="2" t="s">
        <v>47</v>
      </c>
      <c r="H8" s="5">
        <v>33.777777777777779</v>
      </c>
      <c r="J8" s="2" t="s">
        <v>47</v>
      </c>
      <c r="K8" s="5">
        <v>2</v>
      </c>
    </row>
    <row r="9" spans="1:11" x14ac:dyDescent="0.25">
      <c r="A9" s="5">
        <v>35.19877049180328</v>
      </c>
      <c r="D9" s="2" t="s">
        <v>48</v>
      </c>
      <c r="E9" s="3">
        <v>15</v>
      </c>
      <c r="G9" s="2" t="s">
        <v>48</v>
      </c>
      <c r="H9" s="5">
        <v>30.466666666666665</v>
      </c>
      <c r="J9" s="2" t="s">
        <v>48</v>
      </c>
      <c r="K9" s="5">
        <v>8</v>
      </c>
    </row>
    <row r="10" spans="1:11" x14ac:dyDescent="0.25">
      <c r="D10" s="2" t="s">
        <v>49</v>
      </c>
      <c r="E10" s="3">
        <v>10</v>
      </c>
      <c r="G10" s="2" t="s">
        <v>49</v>
      </c>
      <c r="H10" s="5">
        <v>38.799999999999997</v>
      </c>
      <c r="J10" s="2" t="s">
        <v>49</v>
      </c>
      <c r="K10" s="5">
        <v>3.5</v>
      </c>
    </row>
    <row r="11" spans="1:11" x14ac:dyDescent="0.25">
      <c r="D11" s="2" t="s">
        <v>50</v>
      </c>
      <c r="E11" s="3">
        <v>18</v>
      </c>
      <c r="G11" s="2" t="s">
        <v>50</v>
      </c>
      <c r="H11" s="5">
        <v>30.277777777777779</v>
      </c>
      <c r="J11" s="2" t="s">
        <v>50</v>
      </c>
      <c r="K11" s="5">
        <v>7</v>
      </c>
    </row>
    <row r="12" spans="1:11" x14ac:dyDescent="0.25">
      <c r="A12" t="s">
        <v>5</v>
      </c>
      <c r="D12" s="2" t="s">
        <v>51</v>
      </c>
      <c r="E12" s="3">
        <v>19</v>
      </c>
      <c r="G12" s="2" t="s">
        <v>51</v>
      </c>
      <c r="H12" s="5">
        <v>35.157894736842103</v>
      </c>
      <c r="J12" s="2" t="s">
        <v>51</v>
      </c>
      <c r="K12" s="5">
        <v>3.5</v>
      </c>
    </row>
    <row r="13" spans="1:11" x14ac:dyDescent="0.25">
      <c r="A13" s="5">
        <v>4.7876712328767121</v>
      </c>
      <c r="D13" s="2" t="s">
        <v>52</v>
      </c>
      <c r="E13" s="3">
        <v>19</v>
      </c>
      <c r="G13" s="2" t="s">
        <v>52</v>
      </c>
      <c r="H13" s="5">
        <v>37.94736842105263</v>
      </c>
      <c r="J13" s="2" t="s">
        <v>52</v>
      </c>
      <c r="K13" s="5">
        <v>6.4</v>
      </c>
    </row>
    <row r="14" spans="1:11" x14ac:dyDescent="0.25">
      <c r="D14" s="2" t="s">
        <v>53</v>
      </c>
      <c r="E14" s="3">
        <v>13</v>
      </c>
      <c r="G14" s="2" t="s">
        <v>53</v>
      </c>
      <c r="H14" s="5">
        <v>33.92307692307692</v>
      </c>
      <c r="J14" s="2" t="s">
        <v>53</v>
      </c>
      <c r="K14" s="5">
        <v>3.5</v>
      </c>
    </row>
    <row r="15" spans="1:11" x14ac:dyDescent="0.25">
      <c r="D15" s="2" t="s">
        <v>54</v>
      </c>
      <c r="E15" s="3">
        <v>15</v>
      </c>
      <c r="G15" s="2" t="s">
        <v>54</v>
      </c>
      <c r="H15" s="5">
        <v>33.200000000000003</v>
      </c>
      <c r="J15" s="2" t="s">
        <v>54</v>
      </c>
      <c r="K15" s="5">
        <v>6.5</v>
      </c>
    </row>
    <row r="16" spans="1:11" x14ac:dyDescent="0.25">
      <c r="D16" s="2" t="s">
        <v>55</v>
      </c>
      <c r="E16" s="3">
        <v>25</v>
      </c>
      <c r="G16" s="2" t="s">
        <v>55</v>
      </c>
      <c r="H16" s="5">
        <v>40.159999999999997</v>
      </c>
      <c r="J16" s="2" t="s">
        <v>55</v>
      </c>
      <c r="K16" s="5">
        <v>5.2857142857142856</v>
      </c>
    </row>
    <row r="17" spans="4:11" x14ac:dyDescent="0.25">
      <c r="D17" s="2" t="s">
        <v>56</v>
      </c>
      <c r="E17" s="3">
        <v>19</v>
      </c>
      <c r="G17" s="2" t="s">
        <v>56</v>
      </c>
      <c r="H17" s="5">
        <v>41.578947368421055</v>
      </c>
      <c r="J17" s="2" t="s">
        <v>56</v>
      </c>
      <c r="K17" s="5">
        <v>4.333333333333333</v>
      </c>
    </row>
    <row r="18" spans="4:11" x14ac:dyDescent="0.25">
      <c r="D18" s="2" t="s">
        <v>57</v>
      </c>
      <c r="E18" s="3">
        <v>15</v>
      </c>
      <c r="G18" s="2" t="s">
        <v>57</v>
      </c>
      <c r="H18" s="5">
        <v>36.866666666666667</v>
      </c>
      <c r="J18" s="2" t="s">
        <v>57</v>
      </c>
      <c r="K18" s="5">
        <v>3</v>
      </c>
    </row>
    <row r="19" spans="4:11" x14ac:dyDescent="0.25">
      <c r="D19" s="2" t="s">
        <v>58</v>
      </c>
      <c r="E19" s="3">
        <v>14</v>
      </c>
      <c r="G19" s="2" t="s">
        <v>58</v>
      </c>
      <c r="H19" s="5">
        <v>33.714285714285715</v>
      </c>
      <c r="J19" s="2" t="s">
        <v>58</v>
      </c>
      <c r="K19" s="5">
        <v>4.333333333333333</v>
      </c>
    </row>
    <row r="20" spans="4:11" x14ac:dyDescent="0.25">
      <c r="D20" s="2" t="s">
        <v>59</v>
      </c>
      <c r="E20" s="3">
        <v>20</v>
      </c>
      <c r="G20" s="2" t="s">
        <v>59</v>
      </c>
      <c r="H20" s="5">
        <v>33.700000000000003</v>
      </c>
      <c r="J20" s="2" t="s">
        <v>59</v>
      </c>
      <c r="K20" s="5">
        <v>3.3333333333333335</v>
      </c>
    </row>
    <row r="21" spans="4:11" x14ac:dyDescent="0.25">
      <c r="D21" s="2" t="s">
        <v>60</v>
      </c>
      <c r="E21" s="3">
        <v>14</v>
      </c>
      <c r="G21" s="2" t="s">
        <v>60</v>
      </c>
      <c r="H21" s="5">
        <v>34.642857142857146</v>
      </c>
      <c r="J21" s="2" t="s">
        <v>60</v>
      </c>
      <c r="K21" s="5">
        <v>2.5714285714285716</v>
      </c>
    </row>
    <row r="22" spans="4:11" x14ac:dyDescent="0.25">
      <c r="D22" s="2" t="s">
        <v>61</v>
      </c>
      <c r="E22" s="3">
        <v>14</v>
      </c>
      <c r="G22" s="2" t="s">
        <v>61</v>
      </c>
      <c r="H22" s="5">
        <v>36.5</v>
      </c>
      <c r="J22" s="2" t="s">
        <v>61</v>
      </c>
      <c r="K22" s="5">
        <v>3.75</v>
      </c>
    </row>
    <row r="23" spans="4:11" x14ac:dyDescent="0.25">
      <c r="D23" s="2" t="s">
        <v>62</v>
      </c>
      <c r="E23" s="3">
        <v>17</v>
      </c>
      <c r="G23" s="2" t="s">
        <v>62</v>
      </c>
      <c r="H23" s="5">
        <v>33.058823529411768</v>
      </c>
      <c r="J23" s="2" t="s">
        <v>62</v>
      </c>
      <c r="K23" s="5">
        <v>8.3333333333333339</v>
      </c>
    </row>
    <row r="24" spans="4:11" x14ac:dyDescent="0.25">
      <c r="D24" s="2" t="s">
        <v>63</v>
      </c>
      <c r="E24" s="3">
        <v>16</v>
      </c>
      <c r="G24" s="2" t="s">
        <v>63</v>
      </c>
      <c r="H24" s="5">
        <v>33.5625</v>
      </c>
      <c r="J24" s="2" t="s">
        <v>63</v>
      </c>
      <c r="K24" s="5">
        <v>3.75</v>
      </c>
    </row>
    <row r="25" spans="4:11" x14ac:dyDescent="0.25">
      <c r="D25" s="2" t="s">
        <v>64</v>
      </c>
      <c r="E25" s="3">
        <v>18</v>
      </c>
      <c r="G25" s="2" t="s">
        <v>64</v>
      </c>
      <c r="H25" s="5">
        <v>31.555555555555557</v>
      </c>
      <c r="J25" s="2" t="s">
        <v>64</v>
      </c>
      <c r="K25" s="5">
        <v>4.666666666666667</v>
      </c>
    </row>
    <row r="26" spans="4:11" x14ac:dyDescent="0.25">
      <c r="D26" s="2" t="s">
        <v>65</v>
      </c>
      <c r="E26" s="3">
        <v>8</v>
      </c>
      <c r="G26" s="2" t="s">
        <v>65</v>
      </c>
      <c r="H26" s="5">
        <v>38.375</v>
      </c>
      <c r="J26" s="2" t="s">
        <v>65</v>
      </c>
      <c r="K26" s="5">
        <v>5</v>
      </c>
    </row>
    <row r="27" spans="4:11" x14ac:dyDescent="0.25">
      <c r="D27" s="2" t="s">
        <v>66</v>
      </c>
      <c r="E27" s="3">
        <v>17</v>
      </c>
      <c r="G27" s="2" t="s">
        <v>66</v>
      </c>
      <c r="H27" s="5">
        <v>35.411764705882355</v>
      </c>
      <c r="J27" s="2" t="s">
        <v>66</v>
      </c>
      <c r="K27" s="5">
        <v>4.333333333333333</v>
      </c>
    </row>
    <row r="28" spans="4:11" x14ac:dyDescent="0.25">
      <c r="D28" s="2" t="s">
        <v>67</v>
      </c>
      <c r="E28" s="3">
        <v>11</v>
      </c>
      <c r="G28" s="2" t="s">
        <v>67</v>
      </c>
      <c r="H28" s="5">
        <v>34.909090909090907</v>
      </c>
      <c r="J28" s="2" t="s">
        <v>67</v>
      </c>
      <c r="K28" s="5">
        <v>4.666666666666667</v>
      </c>
    </row>
    <row r="29" spans="4:11" x14ac:dyDescent="0.25">
      <c r="D29" s="2" t="s">
        <v>68</v>
      </c>
      <c r="E29" s="3">
        <v>15</v>
      </c>
      <c r="G29" s="2" t="s">
        <v>68</v>
      </c>
      <c r="H29" s="5">
        <v>35.133333333333333</v>
      </c>
      <c r="J29" s="2" t="s">
        <v>68</v>
      </c>
      <c r="K29" s="5">
        <v>4.5</v>
      </c>
    </row>
    <row r="30" spans="4:11" x14ac:dyDescent="0.25">
      <c r="D30" s="2" t="s">
        <v>69</v>
      </c>
      <c r="E30" s="3">
        <v>13</v>
      </c>
      <c r="G30" s="2" t="s">
        <v>69</v>
      </c>
      <c r="H30" s="5">
        <v>35.07692307692308</v>
      </c>
      <c r="J30" s="2" t="s">
        <v>69</v>
      </c>
      <c r="K30" s="5">
        <v>6</v>
      </c>
    </row>
    <row r="31" spans="4:11" x14ac:dyDescent="0.25">
      <c r="D31" s="2" t="s">
        <v>70</v>
      </c>
      <c r="E31" s="3">
        <v>17</v>
      </c>
      <c r="G31" s="2" t="s">
        <v>70</v>
      </c>
      <c r="H31" s="5">
        <v>35.352941176470587</v>
      </c>
      <c r="J31" s="2" t="s">
        <v>70</v>
      </c>
      <c r="K31" s="5">
        <v>6.8888888888888893</v>
      </c>
    </row>
    <row r="32" spans="4:11" x14ac:dyDescent="0.25">
      <c r="D32" s="2" t="s">
        <v>71</v>
      </c>
      <c r="E32" s="3">
        <v>20</v>
      </c>
      <c r="G32" s="2" t="s">
        <v>71</v>
      </c>
      <c r="H32" s="5">
        <v>36.6</v>
      </c>
      <c r="J32" s="2" t="s">
        <v>71</v>
      </c>
      <c r="K32" s="5">
        <v>6.5714285714285712</v>
      </c>
    </row>
    <row r="33" spans="1:11" x14ac:dyDescent="0.25">
      <c r="D33" s="2" t="s">
        <v>72</v>
      </c>
      <c r="E33" s="3">
        <v>20</v>
      </c>
      <c r="G33" s="2" t="s">
        <v>72</v>
      </c>
      <c r="H33" s="5">
        <v>35.799999999999997</v>
      </c>
      <c r="J33" s="2" t="s">
        <v>72</v>
      </c>
      <c r="K33" s="5">
        <v>4.0999999999999996</v>
      </c>
    </row>
    <row r="34" spans="1:11" x14ac:dyDescent="0.25">
      <c r="D34" s="2" t="s">
        <v>73</v>
      </c>
      <c r="E34" s="3">
        <v>13</v>
      </c>
      <c r="G34" s="2" t="s">
        <v>73</v>
      </c>
      <c r="H34" s="5">
        <v>30.307692307692307</v>
      </c>
      <c r="J34" s="2" t="s">
        <v>73</v>
      </c>
      <c r="K34" s="5">
        <v>5</v>
      </c>
    </row>
    <row r="35" spans="1:11" x14ac:dyDescent="0.25">
      <c r="D35" s="2" t="s">
        <v>74</v>
      </c>
      <c r="E35" s="3">
        <v>16</v>
      </c>
      <c r="G35" s="2" t="s">
        <v>74</v>
      </c>
      <c r="H35" s="5">
        <v>42.75</v>
      </c>
      <c r="J35" s="2" t="s">
        <v>74</v>
      </c>
      <c r="K35" s="5">
        <v>5.4</v>
      </c>
    </row>
    <row r="36" spans="1:11" x14ac:dyDescent="0.25">
      <c r="D36" s="2" t="s">
        <v>1</v>
      </c>
      <c r="E36" s="3">
        <v>488</v>
      </c>
      <c r="G36" s="2" t="s">
        <v>1</v>
      </c>
      <c r="H36" s="5">
        <v>35.19877049180328</v>
      </c>
      <c r="J36" s="2" t="s">
        <v>1</v>
      </c>
      <c r="K36" s="5">
        <v>4.7876712328767121</v>
      </c>
    </row>
    <row r="37" spans="1:11" x14ac:dyDescent="0.25">
      <c r="A37" s="1" t="s">
        <v>0</v>
      </c>
      <c r="B37" t="s">
        <v>12</v>
      </c>
      <c r="C37" t="s">
        <v>13</v>
      </c>
    </row>
    <row r="38" spans="1:11" x14ac:dyDescent="0.25">
      <c r="A38" s="2" t="s">
        <v>7</v>
      </c>
      <c r="B38" s="6">
        <v>266</v>
      </c>
      <c r="C38" s="8">
        <v>0.54508196721311475</v>
      </c>
    </row>
    <row r="39" spans="1:11" x14ac:dyDescent="0.25">
      <c r="A39" s="2" t="s">
        <v>8</v>
      </c>
      <c r="B39" s="6">
        <v>222</v>
      </c>
      <c r="C39" s="8">
        <v>0.45491803278688525</v>
      </c>
    </row>
    <row r="40" spans="1:11" x14ac:dyDescent="0.25">
      <c r="A40" s="2" t="s">
        <v>1</v>
      </c>
      <c r="B40" s="6">
        <v>488</v>
      </c>
      <c r="C40" s="8">
        <v>1</v>
      </c>
    </row>
    <row r="43" spans="1:11" x14ac:dyDescent="0.25">
      <c r="A43" s="9" t="s">
        <v>15</v>
      </c>
      <c r="B43" s="9" t="s">
        <v>3</v>
      </c>
      <c r="C43" s="9" t="s">
        <v>14</v>
      </c>
      <c r="D43" s="10"/>
    </row>
    <row r="44" spans="1:11" x14ac:dyDescent="0.25">
      <c r="A44" s="11" t="str">
        <f>A39</f>
        <v>Not Admitted</v>
      </c>
      <c r="B44" s="11">
        <f>B39</f>
        <v>222</v>
      </c>
      <c r="C44" s="12">
        <f>C39</f>
        <v>0.45491803278688525</v>
      </c>
      <c r="D44" s="13"/>
    </row>
    <row r="45" spans="1:11" x14ac:dyDescent="0.25">
      <c r="A45" s="11" t="str">
        <f>A38</f>
        <v>Admitted</v>
      </c>
      <c r="B45" s="11">
        <f>B38</f>
        <v>266</v>
      </c>
      <c r="C45" s="12">
        <f>C38</f>
        <v>0.54508196721311475</v>
      </c>
      <c r="D45" s="13"/>
    </row>
    <row r="47" spans="1:11" x14ac:dyDescent="0.25">
      <c r="A47" t="s">
        <v>25</v>
      </c>
      <c r="E47" t="s">
        <v>29</v>
      </c>
    </row>
    <row r="48" spans="1:11" x14ac:dyDescent="0.25">
      <c r="A48" s="1" t="s">
        <v>0</v>
      </c>
      <c r="B48" t="s">
        <v>24</v>
      </c>
      <c r="E48" s="1" t="s">
        <v>0</v>
      </c>
      <c r="F48" t="s">
        <v>28</v>
      </c>
    </row>
    <row r="49" spans="1:6" x14ac:dyDescent="0.25">
      <c r="A49" s="2" t="s">
        <v>16</v>
      </c>
      <c r="B49" s="6">
        <v>62</v>
      </c>
      <c r="E49" s="2" t="s">
        <v>26</v>
      </c>
      <c r="F49" s="6">
        <v>288</v>
      </c>
    </row>
    <row r="50" spans="1:6" x14ac:dyDescent="0.25">
      <c r="A50" s="2" t="s">
        <v>17</v>
      </c>
      <c r="B50" s="6">
        <v>73</v>
      </c>
      <c r="E50" s="2" t="s">
        <v>27</v>
      </c>
      <c r="F50" s="6">
        <v>200</v>
      </c>
    </row>
    <row r="51" spans="1:6" x14ac:dyDescent="0.25">
      <c r="A51" s="2" t="s">
        <v>18</v>
      </c>
      <c r="B51" s="6">
        <v>49</v>
      </c>
      <c r="E51" s="2" t="s">
        <v>1</v>
      </c>
      <c r="F51" s="6">
        <v>488</v>
      </c>
    </row>
    <row r="52" spans="1:6" x14ac:dyDescent="0.25">
      <c r="A52" s="2" t="s">
        <v>19</v>
      </c>
      <c r="B52" s="6">
        <v>44</v>
      </c>
    </row>
    <row r="53" spans="1:6" x14ac:dyDescent="0.25">
      <c r="A53" s="2" t="s">
        <v>20</v>
      </c>
      <c r="B53" s="6">
        <v>72</v>
      </c>
    </row>
    <row r="54" spans="1:6" x14ac:dyDescent="0.25">
      <c r="A54" s="2" t="s">
        <v>21</v>
      </c>
      <c r="B54" s="6">
        <v>71</v>
      </c>
      <c r="E54" s="2" t="s">
        <v>33</v>
      </c>
    </row>
    <row r="55" spans="1:6" x14ac:dyDescent="0.25">
      <c r="A55" s="2" t="s">
        <v>22</v>
      </c>
      <c r="B55" s="6">
        <v>59</v>
      </c>
      <c r="E55" s="1" t="s">
        <v>0</v>
      </c>
      <c r="F55" t="s">
        <v>32</v>
      </c>
    </row>
    <row r="56" spans="1:6" x14ac:dyDescent="0.25">
      <c r="A56" s="2" t="s">
        <v>23</v>
      </c>
      <c r="B56" s="6">
        <v>58</v>
      </c>
      <c r="E56" s="2" t="s">
        <v>30</v>
      </c>
      <c r="F56" s="6">
        <v>232</v>
      </c>
    </row>
    <row r="57" spans="1:6" x14ac:dyDescent="0.25">
      <c r="A57" s="2" t="s">
        <v>1</v>
      </c>
      <c r="B57" s="6">
        <v>488</v>
      </c>
      <c r="E57" s="2" t="s">
        <v>31</v>
      </c>
      <c r="F57" s="6">
        <v>256</v>
      </c>
    </row>
    <row r="58" spans="1:6" x14ac:dyDescent="0.25">
      <c r="E58" s="2" t="s">
        <v>1</v>
      </c>
      <c r="F58" s="6">
        <v>488</v>
      </c>
    </row>
    <row r="59" spans="1:6" x14ac:dyDescent="0.25">
      <c r="A59" s="2" t="s">
        <v>78</v>
      </c>
    </row>
    <row r="60" spans="1:6" x14ac:dyDescent="0.25">
      <c r="A60" s="1" t="s">
        <v>0</v>
      </c>
      <c r="B60" t="s">
        <v>42</v>
      </c>
    </row>
    <row r="61" spans="1:6" x14ac:dyDescent="0.25">
      <c r="A61" s="2" t="s">
        <v>41</v>
      </c>
      <c r="B61" s="6">
        <v>4</v>
      </c>
      <c r="E61" s="2" t="s">
        <v>77</v>
      </c>
    </row>
    <row r="62" spans="1:6" x14ac:dyDescent="0.25">
      <c r="A62" s="2" t="s">
        <v>37</v>
      </c>
      <c r="B62" s="6">
        <v>7</v>
      </c>
      <c r="E62" s="1" t="s">
        <v>0</v>
      </c>
    </row>
    <row r="63" spans="1:6" x14ac:dyDescent="0.25">
      <c r="A63" s="2" t="s">
        <v>34</v>
      </c>
      <c r="B63" s="6">
        <v>11</v>
      </c>
      <c r="E63" s="2" t="s">
        <v>43</v>
      </c>
    </row>
    <row r="64" spans="1:6" x14ac:dyDescent="0.25">
      <c r="A64" s="2" t="s">
        <v>35</v>
      </c>
      <c r="B64" s="6">
        <v>11</v>
      </c>
      <c r="E64" s="2" t="s">
        <v>1</v>
      </c>
    </row>
    <row r="65" spans="1:2" x14ac:dyDescent="0.25">
      <c r="A65" s="2" t="s">
        <v>40</v>
      </c>
      <c r="B65" s="6">
        <v>12</v>
      </c>
    </row>
    <row r="66" spans="1:2" x14ac:dyDescent="0.25">
      <c r="A66" s="2" t="s">
        <v>39</v>
      </c>
      <c r="B66" s="6">
        <v>60</v>
      </c>
    </row>
    <row r="67" spans="1:2" x14ac:dyDescent="0.25">
      <c r="A67" s="2" t="s">
        <v>36</v>
      </c>
      <c r="B67" s="6">
        <v>93</v>
      </c>
    </row>
    <row r="68" spans="1:2" x14ac:dyDescent="0.25">
      <c r="A68" s="2" t="s">
        <v>38</v>
      </c>
      <c r="B68" s="6">
        <v>290</v>
      </c>
    </row>
    <row r="69" spans="1:2" x14ac:dyDescent="0.25">
      <c r="A69" s="2" t="s">
        <v>1</v>
      </c>
      <c r="B69" s="6">
        <v>488</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89715-40AE-46F8-96A0-441FF3593FD2}">
  <sheetPr>
    <pageSetUpPr autoPageBreaks="0"/>
  </sheetPr>
  <dimension ref="A1"/>
  <sheetViews>
    <sheetView zoomScale="110" zoomScaleNormal="110" workbookViewId="0">
      <selection activeCell="O9" sqref="O9"/>
    </sheetView>
  </sheetViews>
  <sheetFormatPr defaultRowHeight="15" x14ac:dyDescent="0.25"/>
  <cols>
    <col min="1" max="7" width="9.140625" style="16"/>
    <col min="8" max="8" width="9.140625" style="16" customWidth="1"/>
    <col min="9" max="11" width="9.140625" style="16"/>
    <col min="12" max="12" width="9.140625" style="16" customWidth="1"/>
    <col min="13" max="16384" width="9.140625" style="1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EC0DB-5998-4A3A-90E3-6252D03E27B3}">
  <dimension ref="A1:M23"/>
  <sheetViews>
    <sheetView workbookViewId="0"/>
  </sheetViews>
  <sheetFormatPr defaultRowHeight="15" x14ac:dyDescent="0.25"/>
  <sheetData>
    <row r="1" spans="1:13" x14ac:dyDescent="0.25">
      <c r="A1" s="7"/>
      <c r="B1" s="7"/>
      <c r="C1" s="7"/>
      <c r="D1" s="7"/>
      <c r="E1" s="7"/>
      <c r="F1" s="7"/>
      <c r="G1" s="7"/>
      <c r="H1" s="7"/>
      <c r="I1" s="7"/>
      <c r="J1" s="7"/>
      <c r="K1" s="7"/>
      <c r="L1" s="7"/>
      <c r="M1" s="7"/>
    </row>
    <row r="2" spans="1:13" x14ac:dyDescent="0.25">
      <c r="A2" s="7"/>
      <c r="B2" s="7"/>
      <c r="C2" s="7"/>
      <c r="D2" s="7"/>
      <c r="E2" s="7"/>
      <c r="F2" s="7"/>
      <c r="G2" s="7"/>
      <c r="H2" s="7"/>
      <c r="I2" s="7"/>
      <c r="J2" s="7"/>
      <c r="K2" s="7"/>
      <c r="L2" s="7"/>
      <c r="M2" s="7"/>
    </row>
    <row r="3" spans="1:13" x14ac:dyDescent="0.25">
      <c r="A3" s="7"/>
      <c r="B3" s="7"/>
      <c r="C3" s="7"/>
      <c r="D3" s="7"/>
      <c r="E3" s="7"/>
      <c r="F3" s="7"/>
      <c r="G3" s="7"/>
      <c r="H3" s="7"/>
      <c r="I3" s="7"/>
      <c r="J3" s="7"/>
      <c r="K3" s="7"/>
      <c r="L3" s="7"/>
      <c r="M3" s="7"/>
    </row>
    <row r="4" spans="1:13" x14ac:dyDescent="0.25">
      <c r="A4" s="7"/>
      <c r="B4" s="7"/>
      <c r="C4" s="7"/>
      <c r="D4" s="7"/>
      <c r="E4" s="7"/>
      <c r="F4" s="7"/>
      <c r="G4" s="7"/>
      <c r="H4" s="7"/>
      <c r="I4" s="7"/>
      <c r="J4" s="7"/>
      <c r="K4" s="7"/>
      <c r="L4" s="7"/>
      <c r="M4" s="7"/>
    </row>
    <row r="5" spans="1:13" x14ac:dyDescent="0.25">
      <c r="A5" s="7"/>
      <c r="B5" s="7"/>
      <c r="C5" s="7"/>
      <c r="D5" s="7"/>
      <c r="E5" s="7"/>
      <c r="F5" s="7"/>
      <c r="G5" s="7"/>
      <c r="H5" s="7"/>
      <c r="I5" s="7"/>
      <c r="J5" s="7"/>
      <c r="K5" s="7"/>
      <c r="L5" s="7"/>
      <c r="M5" s="7"/>
    </row>
    <row r="6" spans="1:13" x14ac:dyDescent="0.25">
      <c r="A6" s="7"/>
      <c r="B6" s="7"/>
      <c r="C6" s="7"/>
      <c r="D6" s="7"/>
      <c r="E6" s="7"/>
      <c r="F6" s="7"/>
      <c r="G6" s="7"/>
      <c r="H6" s="7"/>
      <c r="I6" s="7"/>
      <c r="J6" s="7"/>
      <c r="K6" s="7"/>
      <c r="L6" s="7"/>
      <c r="M6" s="7"/>
    </row>
    <row r="7" spans="1:13" x14ac:dyDescent="0.25">
      <c r="A7" s="7"/>
      <c r="B7" s="7"/>
      <c r="C7" s="7"/>
      <c r="D7" s="7"/>
      <c r="E7" s="7"/>
      <c r="F7" s="7"/>
      <c r="G7" s="7"/>
      <c r="H7" s="7"/>
      <c r="I7" s="7"/>
      <c r="J7" s="7"/>
      <c r="K7" s="7"/>
      <c r="L7" s="7"/>
      <c r="M7" s="7"/>
    </row>
    <row r="8" spans="1:13" x14ac:dyDescent="0.25">
      <c r="A8" s="7"/>
      <c r="B8" s="7"/>
      <c r="C8" s="7"/>
      <c r="D8" s="7"/>
      <c r="E8" s="7"/>
      <c r="F8" s="7"/>
      <c r="G8" s="7"/>
      <c r="H8" s="7"/>
      <c r="I8" s="7"/>
      <c r="J8" s="7"/>
      <c r="K8" s="7"/>
      <c r="L8" s="7"/>
      <c r="M8" s="7"/>
    </row>
    <row r="9" spans="1:13" x14ac:dyDescent="0.25">
      <c r="A9" s="7"/>
      <c r="B9" s="7"/>
      <c r="C9" s="7"/>
      <c r="D9" s="7"/>
      <c r="E9" s="7"/>
      <c r="F9" s="7"/>
      <c r="G9" s="7"/>
      <c r="H9" s="7"/>
      <c r="I9" s="7"/>
      <c r="J9" s="7"/>
      <c r="K9" s="7"/>
      <c r="L9" s="7"/>
      <c r="M9" s="7"/>
    </row>
    <row r="10" spans="1:13" x14ac:dyDescent="0.25">
      <c r="A10" s="7"/>
      <c r="B10" s="7"/>
      <c r="C10" s="7"/>
      <c r="D10" s="7"/>
      <c r="E10" s="7"/>
      <c r="F10" s="7"/>
      <c r="G10" s="7"/>
      <c r="H10" s="7"/>
      <c r="I10" s="7"/>
      <c r="J10" s="7"/>
      <c r="K10" s="7"/>
      <c r="L10" s="7"/>
      <c r="M10" s="7"/>
    </row>
    <row r="11" spans="1:13" x14ac:dyDescent="0.25">
      <c r="A11" s="7"/>
      <c r="B11" s="7"/>
      <c r="C11" s="7"/>
      <c r="D11" s="7"/>
      <c r="E11" s="7"/>
      <c r="F11" s="7"/>
      <c r="G11" s="7"/>
      <c r="H11" s="7"/>
      <c r="I11" s="7"/>
      <c r="J11" s="7"/>
      <c r="K11" s="7"/>
      <c r="L11" s="7"/>
      <c r="M11" s="7"/>
    </row>
    <row r="12" spans="1:13" x14ac:dyDescent="0.25">
      <c r="A12" s="7"/>
      <c r="B12" s="7"/>
      <c r="C12" s="7"/>
      <c r="D12" s="7"/>
      <c r="E12" s="7"/>
      <c r="F12" s="7"/>
      <c r="G12" s="7"/>
      <c r="H12" s="7"/>
      <c r="I12" s="7"/>
      <c r="J12" s="7"/>
      <c r="K12" s="7"/>
      <c r="L12" s="7"/>
      <c r="M12" s="7"/>
    </row>
    <row r="13" spans="1:13" x14ac:dyDescent="0.25">
      <c r="A13" s="7"/>
      <c r="B13" s="7"/>
      <c r="C13" s="7"/>
      <c r="D13" s="7"/>
      <c r="E13" s="7"/>
      <c r="F13" s="7"/>
      <c r="G13" s="7"/>
      <c r="H13" s="7"/>
      <c r="I13" s="7"/>
      <c r="J13" s="7"/>
      <c r="K13" s="7"/>
      <c r="L13" s="7"/>
      <c r="M13" s="7"/>
    </row>
    <row r="14" spans="1:13" x14ac:dyDescent="0.25">
      <c r="A14" s="7"/>
      <c r="B14" s="7"/>
      <c r="C14" s="7"/>
      <c r="D14" s="7"/>
      <c r="E14" s="7"/>
      <c r="F14" s="7"/>
      <c r="G14" s="7"/>
      <c r="H14" s="7"/>
      <c r="I14" s="7"/>
      <c r="J14" s="7"/>
      <c r="K14" s="7"/>
      <c r="L14" s="7"/>
      <c r="M14" s="7"/>
    </row>
    <row r="15" spans="1:13" x14ac:dyDescent="0.25">
      <c r="A15" s="7"/>
      <c r="B15" s="7"/>
      <c r="C15" s="7"/>
      <c r="D15" s="7"/>
      <c r="E15" s="7"/>
      <c r="F15" s="7"/>
      <c r="G15" s="7"/>
      <c r="H15" s="7"/>
      <c r="I15" s="7"/>
      <c r="J15" s="7"/>
      <c r="K15" s="7"/>
      <c r="L15" s="7"/>
      <c r="M15" s="7"/>
    </row>
    <row r="16" spans="1:13" x14ac:dyDescent="0.25">
      <c r="A16" s="7"/>
      <c r="B16" s="7"/>
      <c r="C16" s="7"/>
      <c r="D16" s="7"/>
      <c r="E16" s="7"/>
      <c r="F16" s="7"/>
      <c r="G16" s="7"/>
      <c r="H16" s="7"/>
      <c r="I16" s="7"/>
      <c r="J16" s="7"/>
      <c r="K16" s="7"/>
      <c r="L16" s="7"/>
      <c r="M16" s="7"/>
    </row>
    <row r="17" spans="1:13" x14ac:dyDescent="0.25">
      <c r="A17" s="7"/>
      <c r="B17" s="7"/>
      <c r="C17" s="7"/>
      <c r="D17" s="7"/>
      <c r="E17" s="7"/>
      <c r="F17" s="7"/>
      <c r="G17" s="7"/>
      <c r="H17" s="7"/>
      <c r="I17" s="7"/>
      <c r="J17" s="7"/>
      <c r="K17" s="7"/>
      <c r="L17" s="7"/>
      <c r="M17" s="7"/>
    </row>
    <row r="18" spans="1:13" x14ac:dyDescent="0.25">
      <c r="A18" s="7"/>
      <c r="B18" s="7"/>
      <c r="C18" s="7"/>
      <c r="D18" s="7"/>
      <c r="E18" s="7"/>
      <c r="F18" s="7"/>
      <c r="G18" s="7"/>
      <c r="H18" s="7"/>
      <c r="I18" s="7"/>
      <c r="J18" s="7"/>
      <c r="K18" s="7"/>
      <c r="L18" s="7"/>
      <c r="M18" s="7"/>
    </row>
    <row r="19" spans="1:13" x14ac:dyDescent="0.25">
      <c r="A19" s="7"/>
      <c r="B19" s="7"/>
      <c r="C19" s="7"/>
      <c r="D19" s="7"/>
      <c r="E19" s="7"/>
      <c r="F19" s="7"/>
      <c r="G19" s="7"/>
      <c r="H19" s="7"/>
      <c r="I19" s="7"/>
      <c r="J19" s="7"/>
      <c r="K19" s="7"/>
      <c r="L19" s="7"/>
      <c r="M19" s="7"/>
    </row>
    <row r="20" spans="1:13" x14ac:dyDescent="0.25">
      <c r="A20" s="7"/>
      <c r="B20" s="7"/>
      <c r="C20" s="7"/>
      <c r="D20" s="7"/>
      <c r="E20" s="7"/>
      <c r="F20" s="7"/>
      <c r="G20" s="7"/>
      <c r="H20" s="7"/>
      <c r="I20" s="7"/>
      <c r="J20" s="7"/>
      <c r="K20" s="7"/>
      <c r="L20" s="7"/>
      <c r="M20" s="7"/>
    </row>
    <row r="21" spans="1:13" x14ac:dyDescent="0.25">
      <c r="A21" s="7"/>
      <c r="B21" s="7"/>
      <c r="C21" s="7"/>
      <c r="D21" s="7"/>
      <c r="E21" s="7"/>
      <c r="F21" s="7"/>
      <c r="G21" s="7"/>
      <c r="H21" s="7"/>
      <c r="I21" s="7"/>
      <c r="J21" s="7"/>
      <c r="K21" s="7"/>
      <c r="L21" s="7"/>
      <c r="M21" s="7"/>
    </row>
    <row r="22" spans="1:13" x14ac:dyDescent="0.25">
      <c r="A22" s="14" t="s">
        <v>9</v>
      </c>
      <c r="B22" s="14"/>
      <c r="C22" s="14"/>
      <c r="D22" s="14"/>
      <c r="E22" s="14"/>
      <c r="F22" s="14"/>
      <c r="G22" s="14"/>
      <c r="H22" s="14"/>
      <c r="I22" s="14"/>
      <c r="J22" s="14"/>
      <c r="K22" s="14"/>
      <c r="L22" s="14"/>
      <c r="M22" s="14"/>
    </row>
    <row r="23" spans="1:13" x14ac:dyDescent="0.25">
      <c r="A23" s="7"/>
      <c r="B23" s="7"/>
      <c r="C23" s="7"/>
      <c r="D23" s="7"/>
      <c r="E23" s="7"/>
      <c r="F23" s="7"/>
      <c r="G23" s="7"/>
      <c r="H23" s="7"/>
      <c r="I23" s="7"/>
      <c r="J23" s="7"/>
      <c r="K23" s="7"/>
      <c r="L23" s="7"/>
      <c r="M23" s="7"/>
    </row>
  </sheetData>
  <mergeCells count="1">
    <mergeCell ref="A22:M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E39C9-FBED-47F5-B1C1-FDEAA0B9B2F7}">
  <dimension ref="A1:M21"/>
  <sheetViews>
    <sheetView workbookViewId="0"/>
  </sheetViews>
  <sheetFormatPr defaultRowHeight="15" x14ac:dyDescent="0.25"/>
  <sheetData>
    <row r="1" spans="1:13" x14ac:dyDescent="0.25">
      <c r="A1" s="4"/>
      <c r="B1" s="4"/>
      <c r="C1" s="4"/>
      <c r="D1" s="4"/>
      <c r="E1" s="4"/>
      <c r="F1" s="4"/>
      <c r="G1" s="4"/>
      <c r="H1" s="4"/>
      <c r="I1" s="4"/>
      <c r="J1" s="4"/>
      <c r="K1" s="4"/>
      <c r="L1" s="4"/>
      <c r="M1" s="4"/>
    </row>
    <row r="2" spans="1:13" x14ac:dyDescent="0.25">
      <c r="A2" s="4"/>
      <c r="B2" s="4"/>
      <c r="C2" s="4"/>
      <c r="D2" s="4"/>
      <c r="E2" s="4"/>
      <c r="F2" s="4"/>
      <c r="G2" s="4"/>
      <c r="H2" s="4"/>
      <c r="I2" s="4"/>
      <c r="J2" s="4"/>
      <c r="K2" s="4"/>
      <c r="L2" s="4"/>
      <c r="M2" s="4"/>
    </row>
    <row r="3" spans="1:13" x14ac:dyDescent="0.25">
      <c r="A3" s="4"/>
      <c r="B3" s="4"/>
      <c r="C3" s="4"/>
      <c r="D3" s="4"/>
      <c r="E3" s="4"/>
      <c r="F3" s="4"/>
      <c r="G3" s="4"/>
      <c r="H3" s="4"/>
      <c r="I3" s="4"/>
      <c r="J3" s="4"/>
      <c r="K3" s="4"/>
      <c r="L3" s="4"/>
      <c r="M3" s="4"/>
    </row>
    <row r="4" spans="1:13" x14ac:dyDescent="0.25">
      <c r="A4" s="4"/>
      <c r="B4" s="4"/>
      <c r="C4" s="4"/>
      <c r="D4" s="4"/>
      <c r="E4" s="4"/>
      <c r="F4" s="4"/>
      <c r="G4" s="4"/>
      <c r="H4" s="4"/>
      <c r="I4" s="4"/>
      <c r="J4" s="4"/>
      <c r="K4" s="4"/>
      <c r="L4" s="4"/>
      <c r="M4" s="4"/>
    </row>
    <row r="5" spans="1:13" x14ac:dyDescent="0.25">
      <c r="A5" s="4"/>
      <c r="B5" s="4"/>
      <c r="C5" s="4"/>
      <c r="D5" s="4"/>
      <c r="E5" s="4"/>
      <c r="F5" s="4"/>
      <c r="G5" s="4"/>
      <c r="H5" s="4"/>
      <c r="I5" s="4"/>
      <c r="J5" s="4"/>
      <c r="K5" s="4"/>
      <c r="L5" s="4"/>
      <c r="M5" s="4"/>
    </row>
    <row r="6" spans="1:13" x14ac:dyDescent="0.25">
      <c r="A6" s="4"/>
      <c r="B6" s="4"/>
      <c r="C6" s="4"/>
      <c r="D6" s="4"/>
      <c r="E6" s="4"/>
      <c r="F6" s="4"/>
      <c r="G6" s="4"/>
      <c r="H6" s="4"/>
      <c r="I6" s="4"/>
      <c r="J6" s="4"/>
      <c r="K6" s="4"/>
      <c r="L6" s="4"/>
      <c r="M6" s="4"/>
    </row>
    <row r="7" spans="1:13" x14ac:dyDescent="0.25">
      <c r="A7" s="4"/>
      <c r="B7" s="4"/>
      <c r="C7" s="4"/>
      <c r="D7" s="4"/>
      <c r="E7" s="4"/>
      <c r="F7" s="4"/>
      <c r="G7" s="4"/>
      <c r="H7" s="4"/>
      <c r="I7" s="4"/>
      <c r="J7" s="4"/>
      <c r="K7" s="4"/>
      <c r="L7" s="4"/>
      <c r="M7" s="4"/>
    </row>
    <row r="8" spans="1:13" x14ac:dyDescent="0.25">
      <c r="A8" s="4"/>
      <c r="B8" s="4"/>
      <c r="C8" s="4"/>
      <c r="D8" s="4"/>
      <c r="E8" s="4"/>
      <c r="F8" s="4"/>
      <c r="G8" s="4"/>
      <c r="H8" s="4"/>
      <c r="I8" s="4"/>
      <c r="J8" s="4"/>
      <c r="K8" s="4"/>
      <c r="L8" s="4"/>
      <c r="M8" s="4"/>
    </row>
    <row r="9" spans="1:13" x14ac:dyDescent="0.25">
      <c r="A9" s="4"/>
      <c r="B9" s="4"/>
      <c r="C9" s="4"/>
      <c r="D9" s="4"/>
      <c r="E9" s="4"/>
      <c r="F9" s="4"/>
      <c r="G9" s="4"/>
      <c r="H9" s="4"/>
      <c r="I9" s="4"/>
      <c r="J9" s="4"/>
      <c r="K9" s="4"/>
      <c r="L9" s="4"/>
      <c r="M9" s="4"/>
    </row>
    <row r="10" spans="1:13" x14ac:dyDescent="0.25">
      <c r="A10" s="4"/>
      <c r="B10" s="4"/>
      <c r="C10" s="4"/>
      <c r="D10" s="4"/>
      <c r="E10" s="4"/>
      <c r="F10" s="4"/>
      <c r="G10" s="4"/>
      <c r="H10" s="4"/>
      <c r="I10" s="4"/>
      <c r="J10" s="4"/>
      <c r="K10" s="4"/>
      <c r="L10" s="4"/>
      <c r="M10" s="4"/>
    </row>
    <row r="11" spans="1:13" x14ac:dyDescent="0.25">
      <c r="A11" s="4"/>
      <c r="B11" s="4"/>
      <c r="C11" s="4"/>
      <c r="D11" s="4"/>
      <c r="E11" s="4"/>
      <c r="F11" s="4"/>
      <c r="G11" s="4"/>
      <c r="H11" s="4"/>
      <c r="I11" s="4"/>
      <c r="J11" s="4"/>
      <c r="K11" s="4"/>
      <c r="L11" s="4"/>
      <c r="M11" s="4"/>
    </row>
    <row r="12" spans="1:13" x14ac:dyDescent="0.25">
      <c r="A12" s="4"/>
      <c r="B12" s="4"/>
      <c r="C12" s="4"/>
      <c r="D12" s="4"/>
      <c r="E12" s="4"/>
      <c r="F12" s="4"/>
      <c r="G12" s="4"/>
      <c r="H12" s="4"/>
      <c r="I12" s="4"/>
      <c r="J12" s="4"/>
      <c r="K12" s="4"/>
      <c r="L12" s="4"/>
      <c r="M12" s="4"/>
    </row>
    <row r="13" spans="1:13" x14ac:dyDescent="0.25">
      <c r="A13" s="4"/>
      <c r="B13" s="4"/>
      <c r="C13" s="4"/>
      <c r="D13" s="4"/>
      <c r="E13" s="4"/>
      <c r="F13" s="4"/>
      <c r="G13" s="4"/>
      <c r="H13" s="4"/>
      <c r="I13" s="4"/>
      <c r="J13" s="4"/>
      <c r="K13" s="4"/>
      <c r="L13" s="4"/>
      <c r="M13" s="4"/>
    </row>
    <row r="14" spans="1:13" x14ac:dyDescent="0.25">
      <c r="A14" s="4"/>
      <c r="B14" s="4"/>
      <c r="C14" s="4"/>
      <c r="D14" s="4"/>
      <c r="E14" s="4"/>
      <c r="F14" s="4"/>
      <c r="G14" s="4"/>
      <c r="H14" s="4"/>
      <c r="I14" s="4"/>
      <c r="J14" s="4"/>
      <c r="K14" s="4"/>
      <c r="L14" s="4"/>
      <c r="M14" s="4"/>
    </row>
    <row r="15" spans="1:13" x14ac:dyDescent="0.25">
      <c r="A15" s="4"/>
      <c r="B15" s="4"/>
      <c r="C15" s="4"/>
      <c r="D15" s="4"/>
      <c r="E15" s="4"/>
      <c r="F15" s="4"/>
      <c r="G15" s="4"/>
      <c r="H15" s="4"/>
      <c r="I15" s="4"/>
      <c r="J15" s="4"/>
      <c r="K15" s="4"/>
      <c r="L15" s="4"/>
      <c r="M15" s="4"/>
    </row>
    <row r="16" spans="1:13" x14ac:dyDescent="0.25">
      <c r="A16" s="4"/>
      <c r="B16" s="4"/>
      <c r="C16" s="4"/>
      <c r="D16" s="4"/>
      <c r="E16" s="4"/>
      <c r="F16" s="4"/>
      <c r="G16" s="4"/>
      <c r="H16" s="4"/>
      <c r="I16" s="4"/>
      <c r="J16" s="4"/>
      <c r="K16" s="4"/>
      <c r="L16" s="4"/>
      <c r="M16" s="4"/>
    </row>
    <row r="17" spans="1:13" x14ac:dyDescent="0.25">
      <c r="A17" s="4"/>
      <c r="B17" s="4"/>
      <c r="C17" s="4"/>
      <c r="D17" s="4"/>
      <c r="E17" s="4"/>
      <c r="F17" s="4"/>
      <c r="G17" s="4"/>
      <c r="H17" s="4"/>
      <c r="I17" s="4"/>
      <c r="J17" s="4"/>
      <c r="K17" s="4"/>
      <c r="L17" s="4"/>
      <c r="M17" s="4"/>
    </row>
    <row r="18" spans="1:13" x14ac:dyDescent="0.25">
      <c r="A18" s="4"/>
      <c r="B18" s="4"/>
      <c r="C18" s="4"/>
      <c r="D18" s="4"/>
      <c r="E18" s="4"/>
      <c r="F18" s="4"/>
      <c r="G18" s="4"/>
      <c r="H18" s="4"/>
      <c r="I18" s="4"/>
      <c r="J18" s="4"/>
      <c r="K18" s="4"/>
      <c r="L18" s="4"/>
      <c r="M18" s="4"/>
    </row>
    <row r="19" spans="1:13" x14ac:dyDescent="0.25">
      <c r="A19" s="4"/>
      <c r="B19" s="4"/>
      <c r="C19" s="4"/>
      <c r="D19" s="4"/>
      <c r="E19" s="4"/>
      <c r="F19" s="4"/>
      <c r="G19" s="4"/>
      <c r="H19" s="4"/>
      <c r="I19" s="4"/>
      <c r="J19" s="4"/>
      <c r="K19" s="4"/>
      <c r="L19" s="4"/>
      <c r="M19" s="4"/>
    </row>
    <row r="21" spans="1:13" x14ac:dyDescent="0.25">
      <c r="A21" t="s">
        <v>10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948F7-3114-47D4-94BB-C0DD0409C676}">
  <dimension ref="A20:L21"/>
  <sheetViews>
    <sheetView workbookViewId="0"/>
  </sheetViews>
  <sheetFormatPr defaultRowHeight="15" x14ac:dyDescent="0.25"/>
  <sheetData>
    <row r="20" spans="1:12" x14ac:dyDescent="0.25">
      <c r="A20" s="15"/>
      <c r="B20" s="15"/>
      <c r="C20" s="15"/>
      <c r="D20" s="15"/>
      <c r="E20" s="15"/>
      <c r="F20" s="15"/>
      <c r="G20" s="15"/>
      <c r="H20" s="15"/>
      <c r="I20" s="15"/>
      <c r="J20" s="15"/>
      <c r="K20" s="15"/>
      <c r="L20" s="15"/>
    </row>
    <row r="21" spans="1:12" x14ac:dyDescent="0.25">
      <c r="A21" s="15"/>
      <c r="B21" s="15"/>
      <c r="C21" s="15"/>
      <c r="D21" s="15"/>
      <c r="E21" s="15"/>
      <c r="F21" s="15"/>
      <c r="G21" s="15"/>
      <c r="H21" s="15"/>
      <c r="I21" s="15"/>
      <c r="J21" s="15"/>
      <c r="K21" s="15"/>
      <c r="L21" s="15"/>
    </row>
  </sheetData>
  <mergeCells count="1">
    <mergeCell ref="A20:L2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EA5400E-EAB5-4C34-8471-5E2A11741B49}">
  <ds:schemaRefs/>
</ds:datastoreItem>
</file>

<file path=customXml/itemProps2.xml><?xml version="1.0" encoding="utf-8"?>
<ds:datastoreItem xmlns:ds="http://schemas.openxmlformats.org/officeDocument/2006/customXml" ds:itemID="{E09CF8D0-842D-4691-BEA1-1000295C6A47}">
  <ds:schemaRefs/>
</ds:datastoreItem>
</file>

<file path=customXml/itemProps3.xml><?xml version="1.0" encoding="utf-8"?>
<ds:datastoreItem xmlns:ds="http://schemas.openxmlformats.org/officeDocument/2006/customXml" ds:itemID="{27700DCA-48B5-4FF2-A0A8-CD8FB5EFA55A}">
  <ds:schemaRefs/>
</ds:datastoreItem>
</file>

<file path=customXml/itemProps4.xml><?xml version="1.0" encoding="utf-8"?>
<ds:datastoreItem xmlns:ds="http://schemas.openxmlformats.org/officeDocument/2006/customXml" ds:itemID="{59E673CE-9417-4EF0-84C4-5D50746EBA57}">
  <ds:schemaRefs/>
</ds:datastoreItem>
</file>

<file path=customXml/itemProps5.xml><?xml version="1.0" encoding="utf-8"?>
<ds:datastoreItem xmlns:ds="http://schemas.openxmlformats.org/officeDocument/2006/customXml" ds:itemID="{0CE0E7CA-79A0-4B4A-99D1-CA326D26CC4B}">
  <ds:schemaRefs/>
</ds:datastoreItem>
</file>

<file path=customXml/itemProps6.xml><?xml version="1.0" encoding="utf-8"?>
<ds:datastoreItem xmlns:ds="http://schemas.openxmlformats.org/officeDocument/2006/customXml" ds:itemID="{18C21883-7B1D-420A-9A64-F41A565725B0}">
  <ds:schemaRefs/>
</ds:datastoreItem>
</file>

<file path=customXml/itemProps7.xml><?xml version="1.0" encoding="utf-8"?>
<ds:datastoreItem xmlns:ds="http://schemas.openxmlformats.org/officeDocument/2006/customXml" ds:itemID="{D8BBB356-0403-4354-A2A2-81C391C8FE4D}">
  <ds:schemaRefs/>
</ds:datastoreItem>
</file>

<file path=customXml/itemProps8.xml><?xml version="1.0" encoding="utf-8"?>
<ds:datastoreItem xmlns:ds="http://schemas.openxmlformats.org/officeDocument/2006/customXml" ds:itemID="{BC7BF7D1-23BA-42E9-958C-CD7F1B2251D9}">
  <ds:schemaRefs/>
</ds:datastoreItem>
</file>

<file path=customXml/itemProps9.xml><?xml version="1.0" encoding="utf-8"?>
<ds:datastoreItem xmlns:ds="http://schemas.openxmlformats.org/officeDocument/2006/customXml" ds:itemID="{3F3D83C4-3FC9-4828-8155-99AEFC95D933}">
  <ds:schemaRefs/>
</ds:datastoreItem>
</file>

<file path=customXml/itemProps10.xml><?xml version="1.0" encoding="utf-8"?>
<ds:datastoreItem xmlns:ds="http://schemas.openxmlformats.org/officeDocument/2006/customXml" ds:itemID="{EDE07FD4-E1F6-41B4-A5E5-3086D6EF60A6}">
  <ds:schemaRefs/>
</ds:datastoreItem>
</file>

<file path=customXml/itemProps11.xml><?xml version="1.0" encoding="utf-8"?>
<ds:datastoreItem xmlns:ds="http://schemas.openxmlformats.org/officeDocument/2006/customXml" ds:itemID="{DFD6C7FE-3E76-4951-B3C8-7E92A5DEB96A}">
  <ds:schemaRefs/>
</ds:datastoreItem>
</file>

<file path=customXml/itemProps12.xml><?xml version="1.0" encoding="utf-8"?>
<ds:datastoreItem xmlns:ds="http://schemas.openxmlformats.org/officeDocument/2006/customXml" ds:itemID="{81EDEE6D-537B-4A20-854A-99F04F58B4D8}">
  <ds:schemaRefs/>
</ds:datastoreItem>
</file>

<file path=customXml/itemProps13.xml><?xml version="1.0" encoding="utf-8"?>
<ds:datastoreItem xmlns:ds="http://schemas.openxmlformats.org/officeDocument/2006/customXml" ds:itemID="{FA30D81C-0B67-494E-9CD0-4A574724B6D7}">
  <ds:schemaRefs/>
</ds:datastoreItem>
</file>

<file path=customXml/itemProps14.xml><?xml version="1.0" encoding="utf-8"?>
<ds:datastoreItem xmlns:ds="http://schemas.openxmlformats.org/officeDocument/2006/customXml" ds:itemID="{18CCC326-9701-4B28-A192-576F5BC4C954}">
  <ds:schemaRefs/>
</ds:datastoreItem>
</file>

<file path=customXml/itemProps15.xml><?xml version="1.0" encoding="utf-8"?>
<ds:datastoreItem xmlns:ds="http://schemas.openxmlformats.org/officeDocument/2006/customXml" ds:itemID="{92ADD766-1C05-4291-B1C5-0DE10AB8F28E}">
  <ds:schemaRefs/>
</ds:datastoreItem>
</file>

<file path=customXml/itemProps16.xml><?xml version="1.0" encoding="utf-8"?>
<ds:datastoreItem xmlns:ds="http://schemas.openxmlformats.org/officeDocument/2006/customXml" ds:itemID="{04B52E40-E63F-43AB-98BD-E909906138C3}">
  <ds:schemaRefs/>
</ds:datastoreItem>
</file>

<file path=customXml/itemProps17.xml><?xml version="1.0" encoding="utf-8"?>
<ds:datastoreItem xmlns:ds="http://schemas.openxmlformats.org/officeDocument/2006/customXml" ds:itemID="{342CA8EB-5796-4C87-9E33-AE9A4E7D9B8A}">
  <ds:schemaRefs/>
</ds:datastoreItem>
</file>

<file path=customXml/itemProps18.xml><?xml version="1.0" encoding="utf-8"?>
<ds:datastoreItem xmlns:ds="http://schemas.openxmlformats.org/officeDocument/2006/customXml" ds:itemID="{3FC863AC-3626-4D5C-90C7-9B22896716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waitime daily trend</vt:lpstr>
      <vt:lpstr>Daily ER No of Patient</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2026-07-08T14:57:50Z</dcterms:created>
  <dcterms:modified xsi:type="dcterms:W3CDTF">2026-07-10T07:40:29Z</dcterms:modified>
</cp:coreProperties>
</file>